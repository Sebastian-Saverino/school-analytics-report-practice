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ver\01_PROJECT\refresher-dashboard\"/>
    </mc:Choice>
  </mc:AlternateContent>
  <xr:revisionPtr revIDLastSave="0" documentId="13_ncr:1_{B2DD1196-5440-4DF5-92CD-75364920BC57}" xr6:coauthVersionLast="47" xr6:coauthVersionMax="47" xr10:uidLastSave="{00000000-0000-0000-0000-000000000000}"/>
  <bookViews>
    <workbookView xWindow="43095" yWindow="0" windowWidth="14610" windowHeight="15585" firstSheet="3" activeTab="5" xr2:uid="{00000000-000D-0000-FFFF-FFFF00000000}"/>
  </bookViews>
  <sheets>
    <sheet name="Daily plan" sheetId="1" state="hidden" r:id="rId1"/>
    <sheet name="Progress" sheetId="2" state="hidden" r:id="rId2"/>
    <sheet name="Guide" sheetId="3" state="hidden" r:id="rId3"/>
    <sheet name="Overview" sheetId="4" r:id="rId4"/>
    <sheet name="Project Checklist" sheetId="5" r:id="rId5"/>
    <sheet name="Daily Journal" sheetId="6" r:id="rId6"/>
    <sheet name="DS Concepts" sheetId="7" r:id="rId7"/>
    <sheet name="Dataset Guide" sheetId="8" state="hidden" r:id="rId8"/>
    <sheet name="New Workflow Guid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6" l="1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B20" i="4"/>
  <c r="B19" i="4"/>
  <c r="B18" i="4"/>
  <c r="B17" i="4"/>
  <c r="E13" i="4"/>
  <c r="D13" i="4"/>
  <c r="E12" i="4"/>
  <c r="D12" i="4"/>
  <c r="E11" i="4"/>
  <c r="F11" i="4" s="1"/>
  <c r="D11" i="4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B4" i="2" s="1"/>
  <c r="F8" i="2"/>
  <c r="E4" i="2"/>
  <c r="F12" i="4" l="1"/>
  <c r="F13" i="4"/>
</calcChain>
</file>

<file path=xl/sharedStrings.xml><?xml version="1.0" encoding="utf-8"?>
<sst xmlns="http://schemas.openxmlformats.org/spreadsheetml/2006/main" count="2590" uniqueCount="1090">
  <si>
    <t>Sebastian's October 2026 re-entry plan</t>
  </si>
  <si>
    <t>DS = Data Science / Analytics. DE = Data Engineering. Job starts Monday, October 26.</t>
  </si>
  <si>
    <t>Each track: P1 = 25 minutes minimum; P2 = optional second 25-minute block. Use Progress to log either hands-on or concept work.</t>
  </si>
  <si>
    <t>Date</t>
  </si>
  <si>
    <t>Track</t>
  </si>
  <si>
    <t>Focus</t>
  </si>
  <si>
    <t>P1: minimum task</t>
  </si>
  <si>
    <t>P2: optional extension</t>
  </si>
  <si>
    <t>Concept-only alternative / search topic</t>
  </si>
  <si>
    <t>Hands-on checkpoint</t>
  </si>
  <si>
    <t>DS</t>
  </si>
  <si>
    <t>Establish a baseline</t>
  </si>
  <si>
    <t>Create a small messy maintenance CSV and profile shape, types, missingness, and duplicates in Jupyter.</t>
  </si>
  <si>
    <t>Write three questions the data could answer.</t>
  </si>
  <si>
    <t>Search pandas data profiling refresher; describe a first-pass inspection and three failure modes in a note.</t>
  </si>
  <si>
    <t>A baseline notebook and three findings.</t>
  </si>
  <si>
    <t>DE</t>
  </si>
  <si>
    <t>Sketch CSV → staging → cleaned tables → queries; state what one input row represents.</t>
  </si>
  <si>
    <t>Create the folders above and a short field dictionary.</t>
  </si>
  <si>
    <t>Search ETL ELT staging data grain; narrate the stages, inputs, and outputs for this dataset.</t>
  </si>
  <si>
    <t>Pipeline sketch and explicit row grain.</t>
  </si>
  <si>
    <t>Clean types and identifiers</t>
  </si>
  <si>
    <t>Standardize whitespace, null markers, dates, and numeric columns while preserving raw values.</t>
  </si>
  <si>
    <t>Compare before/after null counts and inspect failed conversions.</t>
  </si>
  <si>
    <t>Search pandas missing values dtype date parsing; explain five cleaning rules and when each could destroy information.</t>
  </si>
  <si>
    <t>Cleaning rules and a conversion report.</t>
  </si>
  <si>
    <t>Read the CSV with explicit encoding, delimiter, and identifier types; preserve leading zeros.</t>
  </si>
  <si>
    <t>Separate malformed rows with reasons.</t>
  </si>
  <si>
    <t>Search CSV ingestion encoding delimiters schema validation; draft an input contract with three rejection rules.</t>
  </si>
  <si>
    <t>Ingestion function and a small rejected-row sample.</t>
  </si>
  <si>
    <t>Duplicates, grain, and keys</t>
  </si>
  <si>
    <t>Distinguish duplicate rows from legitimate repeat maintenance events.</t>
  </si>
  <si>
    <t>Compare deduplication strategies and their effect on counts.</t>
  </si>
  <si>
    <t>Search data deduplication entity resolution basics; explain why matching asset IDs alone cannot identify duplicate events.</t>
  </si>
  <si>
    <t>A defensible duplicate rule with examples.</t>
  </si>
  <si>
    <t>Identify candidate, primary, natural, surrogate, and foreign keys for assets and work orders.</t>
  </si>
  <si>
    <t>Check candidate keys for nulls and uniqueness.</t>
  </si>
  <si>
    <t>Search candidate key natural key surrogate key foreign key; explain your choices for two related tables.</t>
  </si>
  <si>
    <t>Key choices and failed-key examples.</t>
  </si>
  <si>
    <t>First normal form</t>
  </si>
  <si>
    <t>Split and explode a multi-part field; compare row counts before and after.</t>
  </si>
  <si>
    <t>Aggregate back to work-order grain without double-counting costs.</t>
  </si>
  <si>
    <t>Search pandas explode double counting aggregation; work through one order with three parts and explain the counting trap.</t>
  </si>
  <si>
    <t>A notebook showing the grain change.</t>
  </si>
  <si>
    <t>Convert repeating part columns or lists into rows with single values in each field: a practical 1NF exercise.</t>
  </si>
  <si>
    <t>Define a work-order-parts table and its key.</t>
  </si>
  <si>
    <t>Search first normal form repeating groups atomic values; sketch a corrected table from a three-part order.</t>
  </si>
  <si>
    <t>Before/after tables and a 1NF explanation.</t>
  </si>
  <si>
    <t>Second normal form</t>
  </si>
  <si>
    <t>Refresh groupby, aggregation, and pivoting to compare work orders by unit.</t>
  </si>
  <si>
    <t>Check denominators and distinguish asset counts from order counts.</t>
  </si>
  <si>
    <t>Search aggregation grain numerator denominator analytics; calculate a metric from a small invented example.</t>
  </si>
  <si>
    <t>One summary with a written metric definition.</t>
  </si>
  <si>
    <t>Use the composite key (work_order_id, part_id); move attributes dependent on only one key component into their own tables.</t>
  </si>
  <si>
    <t>Write the functional dependencies.</t>
  </si>
  <si>
    <t>Search second normal form partial dependency composite key; explain why part name belongs with the part, not the order-part pair.</t>
  </si>
  <si>
    <t>A 2NF schema and the partial dependency removed.</t>
  </si>
  <si>
    <t>Third normal form and relationships</t>
  </si>
  <si>
    <t>Join assets, units, and orders; validate expected one-to-many relationships.</t>
  </si>
  <si>
    <t>Find unmatched keys and accidental row multiplication.</t>
  </si>
  <si>
    <t>Search pandas merge validate SQL join cardinality; predict join row counts for a small example with duplicate keys.</t>
  </si>
  <si>
    <t>Join checks and before/after row counts.</t>
  </si>
  <si>
    <t>Remove a transitive dependency such as asset_id → unit_id → unit_name.</t>
  </si>
  <si>
    <t>Draw one-to-many and many-to-many relationships with optionality.</t>
  </si>
  <si>
    <t>Search third normal form transitive dependency ER diagram; explain an update anomaly and how the revised schema prevents it.</t>
  </si>
  <si>
    <t>A 3NF schema and relationship sketch.</t>
  </si>
  <si>
    <t>Explain and implement the design</t>
  </si>
  <si>
    <t>Plot order volume and maintenance duration distributions; label units and missing values.</t>
  </si>
  <si>
    <t>Write three observations and one caveat.</t>
  </si>
  <si>
    <t>Search histogram box plot skewed data visualization; choose charts for two questions and explain what each hides.</t>
  </si>
  <si>
    <t>Two readable charts with captions.</t>
  </si>
  <si>
    <t>Write and execute table definitions with primary/foreign keys and appropriate constraints.</t>
  </si>
  <si>
    <t>Give a two-minute answer to “How do you normalize a database?” using 1NF → 2NF → 3NF and your example.</t>
  </si>
  <si>
    <t>Search database normalization practical example 1NF 2NF 3NF; sketch the schema and record the two-minute explanation.</t>
  </si>
  <si>
    <t>Schema SQL and interview-answer notes.</t>
  </si>
  <si>
    <t>Load and reconcile</t>
  </si>
  <si>
    <t>Refresh SQL SELECT, WHERE, GROUP BY, and HAVING using three maintenance questions.</t>
  </si>
  <si>
    <t>Reproduce one answer in pandas.</t>
  </si>
  <si>
    <t>Search SQL group by having order of execution; outline three queries and explain where each filter belongs.</t>
  </si>
  <si>
    <t>Saved queries with a matching result check.</t>
  </si>
  <si>
    <t>Load parent tables before child tables inside a transaction.</t>
  </si>
  <si>
    <t>Reconcile source, accepted, rejected, and loaded counts.</t>
  </si>
  <si>
    <t>Search database transactions foreign key load order; describe what should happen if a child-table load fails.</t>
  </si>
  <si>
    <t>A successful load and reconciliation note.</t>
  </si>
  <si>
    <t>Joins and missing matches</t>
  </si>
  <si>
    <t>Use inner and left joins to find assets with and without maintenance.</t>
  </si>
  <si>
    <t>Use NOT EXISTS to find missing matches and compare results.</t>
  </si>
  <si>
    <t>Search SQL left join not exists null pitfalls; work through five assets and three work orders on paper.</t>
  </si>
  <si>
    <t>Three queries and expected row counts.</t>
  </si>
  <si>
    <t>Add checks for orphan keys, duplicate keys, and invalid durations.</t>
  </si>
  <si>
    <t>Inject one bad row per rule and verify detection.</t>
  </si>
  <si>
    <t>Search data quality referential integrity checks; specify three rules, a failing example, and the response to each.</t>
  </si>
  <si>
    <t>Three meaningful quality checks.</t>
  </si>
  <si>
    <t>Windows and reruns</t>
  </si>
  <si>
    <t>Use ROW_NUMBER for latest maintenance per asset and LAG for gaps between events.</t>
  </si>
  <si>
    <t>Handle tied timestamps deterministically.</t>
  </si>
  <si>
    <t>Search SQL row number lag partition by; hand-calculate results for two assets with three events each.</t>
  </si>
  <si>
    <t>Two window-function queries.</t>
  </si>
  <si>
    <t>Make loading the same input twice produce the same final records.</t>
  </si>
  <si>
    <t>Test a corrected record using an upsert or replacement strategy.</t>
  </si>
  <si>
    <t>Search idempotent ETL upsert duplicate prevention; explain insert, retry, and correction behavior for one record.</t>
  </si>
  <si>
    <t>Rerun counts and a documented update rule.</t>
  </si>
  <si>
    <t>Missingness and failure handling</t>
  </si>
  <si>
    <t>Profile missingness by unit and time; compare complete-case and simple-imputation summaries.</t>
  </si>
  <si>
    <t>Explain potential bias without assuming the missingness mechanism is known.</t>
  </si>
  <si>
    <t>Search MCAR MAR MNAR missing data refresher; invent one example of each and explain why dropping rows can mislead.</t>
  </si>
  <si>
    <t>Comparison table and caveat.</t>
  </si>
  <si>
    <t>Separate extraction, transformation, and loading into small functions.</t>
  </si>
  <si>
    <t>Add useful counts and error messages.</t>
  </si>
  <si>
    <t>Search ETL pipeline modular design error handling; outline function inputs, outputs, and failure behavior.</t>
  </si>
  <si>
    <t>A repeatable pipeline entry point.</t>
  </si>
  <si>
    <t>Statistics and incremental data</t>
  </si>
  <si>
    <t>Compare mean, median, spread, and percentiles of duration by unit.</t>
  </si>
  <si>
    <t>Bootstrap a mean or median interval and state the sampling assumptions.</t>
  </si>
  <si>
    <t>Search bootstrap confidence interval sampling assumptions; explain a confidence interval and how dependent observations affect it.</t>
  </si>
  <si>
    <t>A statistical summary with limits on interpretation.</t>
  </si>
  <si>
    <t>Add a second CSV containing new and corrected orders; define how to distinguish them.</t>
  </si>
  <si>
    <t>Handle a late-arriving record.</t>
  </si>
  <si>
    <t>Search incremental load watermark late arriving data; explain how a timestamp-only watermark could miss a correction.</t>
  </si>
  <si>
    <t>Incremental-load rules and before/after counts.</t>
  </si>
  <si>
    <t>Comparisons and schema changes</t>
  </si>
  <si>
    <t>Compare two units' durations using effect size, sample size, and distributions.</t>
  </si>
  <si>
    <t>Refresh a suitable statistical test and check assumptions.</t>
  </si>
  <si>
    <t>Search effect size statistical significance confounding; explain why a significant unit difference may not reflect performance.</t>
  </si>
  <si>
    <t>A short comparison that avoids causal claims.</t>
  </si>
  <si>
    <t>Introduce a renamed column and an unexpected category; detect or map each explicitly.</t>
  </si>
  <si>
    <t>Distinguish tolerable additions from breaking changes.</t>
  </si>
  <si>
    <t>Search schema evolution data contracts pipeline; classify three changes and explain whether to accept, warn, or reject.</t>
  </si>
  <si>
    <t>Schema-drift policy and two exercised examples.</t>
  </si>
  <si>
    <t>Rebuild and review</t>
  </si>
  <si>
    <t>Answer one operational question using SQL → pandas → one chart.</t>
  </si>
  <si>
    <t>Write a five-sentence finding with denominator and caveat.</t>
  </si>
  <si>
    <t>Search communicating data analysis findings uncertainty; give a one-minute briefing using an invented result clearly labeled synthetic.</t>
  </si>
  <si>
    <t>A small analysis someone else could follow.</t>
  </si>
  <si>
    <t>Rebuild the database from the sample inputs and scripts.</t>
  </si>
  <si>
    <t>Review failure recovery and document the run steps.</t>
  </si>
  <si>
    <t>Search reproducible data pipelines lineage; walk through a clean rebuild and identify every required input.</t>
  </si>
  <si>
    <t>Reproduction notes and one improvement for next week.</t>
  </si>
  <si>
    <t>JSON and API-shaped data</t>
  </si>
  <si>
    <t>Flatten a small nested JSON fixture and inspect arrays, missing fields, and types.</t>
  </si>
  <si>
    <t>Join it to existing assets.</t>
  </si>
  <si>
    <t>Search pandas json normalize nested JSON arrays; sketch how a nested response becomes related tables.</t>
  </si>
  <si>
    <t>A JSON-normalization notebook and join check.</t>
  </si>
  <si>
    <t>Build an API-response ingestion function against a saved JSON fixture.</t>
  </si>
  <si>
    <t>Try a public read-only endpoint if available, with a timeout and status checking; save a non-sensitive sample.</t>
  </si>
  <si>
    <t>Search Python REST API ingestion requests timeout status codes; describe request, validation, storage, and failure handling.</t>
  </si>
  <si>
    <t>Raw response → staging path with source/time metadata.</t>
  </si>
  <si>
    <t>Text and pagination</t>
  </si>
  <si>
    <t>Extract simple categories from synthetic maintenance notes using transparent text rules.</t>
  </si>
  <si>
    <t>Review false positives and unmatched notes.</t>
  </si>
  <si>
    <t>Search text preprocessing regex rule based classification; devise three rules and one counterexample for each.</t>
  </si>
  <si>
    <t>Categorized sample with five manually checked cases.</t>
  </si>
  <si>
    <t>Ingest two simulated API pages without losing or duplicating records.</t>
  </si>
  <si>
    <t>Simulate a rate-limit response and bounded retries with backoff.</t>
  </si>
  <si>
    <t>Search API pagination rate limits exponential backoff; trace a three-page request sequence with one retry.</t>
  </si>
  <si>
    <t>Pagination logic and retry limits.</t>
  </si>
  <si>
    <t>Features and analytical modeling</t>
  </si>
  <si>
    <t>Build time-since-maintenance and prior-order-count features using only information available at the observation time.</t>
  </si>
  <si>
    <t>Identify leakage candidates.</t>
  </si>
  <si>
    <t>Search time series feature engineering target leakage; classify five proposed features as available or leaking future information.</t>
  </si>
  <si>
    <t>A feature table and availability notes.</t>
  </si>
  <si>
    <t>Sketch a maintenance fact table and asset, unit, and date dimensions; declare fact grain first.</t>
  </si>
  <si>
    <t>Compare this reporting model with the normalized operational schema.</t>
  </si>
  <si>
    <t>Search normalized schema versus star schema fact grain; explain why both designs may be useful in the same system.</t>
  </si>
  <si>
    <t>A small star-schema sketch and tradeoff note.</t>
  </si>
  <si>
    <t>ML refresher and integrity</t>
  </si>
  <si>
    <t>Define a simple prediction target, chronological split, and naive baseline on synthetic data.</t>
  </si>
  <si>
    <t>Fit one familiar scikit-learn pipeline and compare an appropriate metric.</t>
  </si>
  <si>
    <t>Search scikit learn pipeline time based split baseline model; explain preprocessing leakage and choose a metric for your target.</t>
  </si>
  <si>
    <t>Baseline result and leakage check; no claim of operational validity.</t>
  </si>
  <si>
    <t>Test uniqueness, null, and foreign-key constraints with intentional violations.</t>
  </si>
  <si>
    <t>Verify rollback after a partial failure.</t>
  </si>
  <si>
    <t>Search SQL constraints transactions rollback ACID; narrate a failed multi-table load and the state that should remain.</t>
  </si>
  <si>
    <t>Integrity-check results and transaction behavior.</t>
  </si>
  <si>
    <t>Diagnostic plots and query plans</t>
  </si>
  <si>
    <t>Inspect baseline/model errors by unit or duration range; without a model, inspect outliers in the descriptive analysis.</t>
  </si>
  <si>
    <t>Plot residuals or subgroup distributions.</t>
  </si>
  <si>
    <t>Search regression residual plots subgroup model evaluation; explain how an acceptable overall metric can hide poor subgroup results.</t>
  </si>
  <si>
    <t>One diagnostic chart and two limitations.</t>
  </si>
  <si>
    <t>Inspect a query plan for a join/filter query and identify a useful index.</t>
  </si>
  <si>
    <t>Compare plans before and after indexing; use more synthetic rows only if timing would be meaningful.</t>
  </si>
  <si>
    <t>Search SQL explain query plan composite index; explain read benefits, write costs, and why tiny-data timings are inconclusive.</t>
  </si>
  <si>
    <t>Query-plan comparison and index rationale.</t>
  </si>
  <si>
    <t>Metric definitions and denormalization</t>
  </si>
  <si>
    <t>Define an overdue-maintenance rate with an explicit eligible population and as-of date.</t>
  </si>
  <si>
    <t>Reconcile SQL and pandas calculations, including null due dates.</t>
  </si>
  <si>
    <t>Search analytics metric definitions denominator time window; write the formula, exclusions, and a misleading alternative definition.</t>
  </si>
  <si>
    <t>Metric definition and matching calculations.</t>
  </si>
  <si>
    <t>Create a reporting view over normalized tables.</t>
  </si>
  <si>
    <t>Consider a stored summary table and specify refresh timing, ownership, and staleness tolerance.</t>
  </si>
  <si>
    <t>Search normalization denormalization reporting tradeoffs; explain update anomalies, query simplicity, performance, and refresh obligations.</t>
  </si>
  <si>
    <t>View SQL and a normalization/denormalization decision note.</t>
  </si>
  <si>
    <t>Repeatable reporting and recovery</t>
  </si>
  <si>
    <t>Rerun a notebook from a clean kernel with one configurable date range.</t>
  </si>
  <si>
    <t>Check chart labels, empty results, and reproducibility.</t>
  </si>
  <si>
    <t>Search Jupyter reproducible notebooks hidden state; list five checks before sharing an analysis.</t>
  </si>
  <si>
    <t>A notebook that runs top to bottom.</t>
  </si>
  <si>
    <t>Force an ingestion failure, correct it, and rerun safely.</t>
  </si>
  <si>
    <t>Record run ID, input, row counts, rejects, status, and duration.</t>
  </si>
  <si>
    <t>Search data pipeline observability retries recovery; define what a useful failure alert must tell its reader.</t>
  </si>
  <si>
    <t>Failure/recovery example and a compact run log.</t>
  </si>
  <si>
    <t>Fresh CSV, familiar workflow</t>
  </si>
  <si>
    <t>Profile a fresh synthetic CSV with mixed dates, units, and missing values.</t>
  </si>
  <si>
    <t>Clean it and make one useful plot.</t>
  </si>
  <si>
    <t>Search exploratory data analysis checklist messy CSV; describe the order of checks and what would stop the analysis.</t>
  </si>
  <si>
    <t>A short EDA notebook with assumptions.</t>
  </si>
  <si>
    <t>Map the new file into staging and the existing schema.</t>
  </si>
  <si>
    <t>Test an unknown asset and a duplicate order.</t>
  </si>
  <si>
    <t>Search source to target mapping staging tables; explain how to handle an unknown foreign key without silently losing a row.</t>
  </si>
  <si>
    <t>Mapping rules and quality-check results.</t>
  </si>
  <si>
    <t>SQL practice and schema defense</t>
  </si>
  <si>
    <t>Write three SQL answers: latest event per asset, weekly order counts, and assets without orders.</t>
  </si>
  <si>
    <t>Add one edge case to each.</t>
  </si>
  <si>
    <t>Search SQL CTE window functions anti join practice; outline the three queries and predict results on a tiny dataset.</t>
  </si>
  <si>
    <t>A reusable query set with expected outcomes.</t>
  </si>
  <si>
    <t>Redesign a deliberately wide maintenance table into 3NF.</t>
  </si>
  <si>
    <t>Defend keys, relationships, and one deliberate reporting denormalization.</t>
  </si>
  <si>
    <t>Search database normalization interview practical example; give a three-minute walkthrough including anomalies and tradeoffs.</t>
  </si>
  <si>
    <t>Schema sketch and a concise normalization answer.</t>
  </si>
  <si>
    <t>Visual communication and delivery</t>
  </si>
  <si>
    <t>Improve one chart's question, scale, labels, and caption.</t>
  </si>
  <si>
    <t>Pair it with a three-bullet finding and limitation.</t>
  </si>
  <si>
    <t>Search data visualization chart critique axes uncertainty; describe a misleading chart and how you would repair it.</t>
  </si>
  <si>
    <t>One clear chart and explanatory note.</t>
  </si>
  <si>
    <t>Run CSV/JSON → clean → SQL → query on a small fixture.</t>
  </si>
  <si>
    <t>Review the run instructions and remove manual steps.</t>
  </si>
  <si>
    <t>Search ETL pipeline walkthrough data quality lineage; narrate the same flow and identify checks at each boundary.</t>
  </si>
  <si>
    <t>A documented mini-project run.</t>
  </si>
  <si>
    <t>Light review before starting</t>
  </si>
  <si>
    <t>Revisit your least fluent pandas/SQL operation using a tiny example.</t>
  </si>
  <si>
    <t>Refresh one statistics concept.</t>
  </si>
  <si>
    <t>Search your weakest topic from the month; record a teach-back explanation and one remaining question.</t>
  </si>
  <si>
    <t>A short reference note and one solved example.</t>
  </si>
  <si>
    <t>Review normalization, idempotency, transactions, and data quality using your schema.</t>
  </si>
  <si>
    <t>Write questions about the new team's data sources, tools, definitions, and review process.</t>
  </si>
  <si>
    <t>Search database normalization idempotent pipelines refresher; explain each concept with one concrete failure it prevents.</t>
  </si>
  <si>
    <t>A one-page personal reference and onboarding questions.</t>
  </si>
  <si>
    <t>Job start: small cleaning and loading tasks</t>
  </si>
  <si>
    <t>Clean a 20-row sample and compute one well-defined summary.</t>
  </si>
  <si>
    <t>Visualize it.</t>
  </si>
  <si>
    <t>Search pandas cleaning refresher missing values duplicates; explain your cleaning order and how you would validate the summary.</t>
  </si>
  <si>
    <t>A small notebook with one insight and one caveat.</t>
  </si>
  <si>
    <t>Load that sample into staging and check keys/counts.</t>
  </si>
  <si>
    <t>Rerun to verify duplicate prevention.</t>
  </si>
  <si>
    <t>Search staging tables idempotent load; trace the first load and a retry, including expected counts.</t>
  </si>
  <si>
    <t>Load/reload results.</t>
  </si>
  <si>
    <t>SQL and relational design</t>
  </si>
  <si>
    <t>Use a CTE and window function to compare recent versus earlier maintenance activity.</t>
  </si>
  <si>
    <t>Check empty groups and tied dates.</t>
  </si>
  <si>
    <t>Search SQL CTE lag time comparison; work through a small ordered example and explain the partition.</t>
  </si>
  <si>
    <t>One query with edge-case notes.</t>
  </si>
  <si>
    <t>Review one relationship for cardinality, optionality, and foreign-key behavior.</t>
  </si>
  <si>
    <t>Explain the effect of a unit reassignment on historical reports.</t>
  </si>
  <si>
    <t>Search relational modeling slowly changing dimensions basics; compare current-state reporting with preserving historical assignments.</t>
  </si>
  <si>
    <t>Relationship decision and a history-handling note.</t>
  </si>
  <si>
    <t>API/JSON refresh</t>
  </si>
  <si>
    <t>Flatten a fresh JSON response fixture and make one distribution or category chart.</t>
  </si>
  <si>
    <t>Compare its definitions with the CSV data.</t>
  </si>
  <si>
    <t>Search JSON analytics nested arrays pandas; sketch a flattening plan and identify potential duplicated measures.</t>
  </si>
  <si>
    <t>A short JSON EDA notebook.</t>
  </si>
  <si>
    <t>Reuse the API/fixture ingestion path with validation and source metadata.</t>
  </si>
  <si>
    <t>Exercise one timeout or missing-field case.</t>
  </si>
  <si>
    <t>Search API ingestion validation timeout retry; explain which failures deserve retries and which need correction.</t>
  </si>
  <si>
    <t>One successful run and one understood failure.</t>
  </si>
  <si>
    <t>EDA and pipeline checks</t>
  </si>
  <si>
    <t>Investigate an outlier: error, valid rare event, or unknown.</t>
  </si>
  <si>
    <t>Show the summary with and without it.</t>
  </si>
  <si>
    <t>Search outlier detection robust statistics data cleaning; explain why unusual values should not automatically be deleted.</t>
  </si>
  <si>
    <t>An outlier decision with evidence.</t>
  </si>
  <si>
    <t>Add one useful freshness, volume, or uniqueness check to the pipeline.</t>
  </si>
  <si>
    <t>Define severity and a response when it fails.</t>
  </si>
  <si>
    <t>Search data quality freshness volume anomaly checks; propose a threshold, likely false alarm, and investigation step.</t>
  </si>
  <si>
    <t>One exercised check and response note.</t>
  </si>
  <si>
    <t>Query-to-chart mini-project</t>
  </si>
  <si>
    <t>Answer one focused question in SQL and display the result in Jupyter.</t>
  </si>
  <si>
    <t>Improve the chart and interpretation.</t>
  </si>
  <si>
    <t>Search SQL to visualization analytical workflow; explain the question, grain, query, chart, and caveat for one example.</t>
  </si>
  <si>
    <t>Query, chart, and three-sentence finding.</t>
  </si>
  <si>
    <t>Make that query reusable as a view with documented grain and dependencies.</t>
  </si>
  <si>
    <t>Inspect its query plan or add a reconciliation check.</t>
  </si>
  <si>
    <t>Search SQL views reporting data lineage; describe upstream dependencies and how a source change could alter the result.</t>
  </si>
  <si>
    <t>A reporting view and a validation note.</t>
  </si>
  <si>
    <t>Review through practice</t>
  </si>
  <si>
    <t>Repeat October 1's profiling exercise on a fresh sample and note what feels easier.</t>
  </si>
  <si>
    <t>Revisit one weak skill.</t>
  </si>
  <si>
    <t>Search one remaining weak topic; record a five-minute explanation and compare it with your early-month notes.</t>
  </si>
  <si>
    <t>A final small notebook and three priorities for November.</t>
  </si>
  <si>
    <t>Run one existing mini-project from source to SQL result and explain the schema.</t>
  </si>
  <si>
    <t>Improve one awkward step.</t>
  </si>
  <si>
    <t>Search CSV to SQL normalized database pipeline walkthrough; narrate your own design, checks, rerun behavior, and reporting tradeoffs.</t>
  </si>
  <si>
    <t>A successful run, a normalization explanation, and one next improvement.</t>
  </si>
  <si>
    <t>October progress</t>
  </si>
  <si>
    <t>Days complete</t>
  </si>
  <si>
    <t>of 31 days</t>
  </si>
  <si>
    <t>Minutes logged</t>
  </si>
  <si>
    <t>Amber cells are editable. Select Done after P1 or its concept alternative; enter focused minutes for each area.</t>
  </si>
  <si>
    <t>A complete day requires Done and at least 25 minutes in BOTH areas. Optional P2 is not required. Note hands-on or concept in your output.</t>
  </si>
  <si>
    <t>DS status</t>
  </si>
  <si>
    <t>DS minutes</t>
  </si>
  <si>
    <t>DE status</t>
  </si>
  <si>
    <t>DE minutes</t>
  </si>
  <si>
    <t>Total minutes</t>
  </si>
  <si>
    <t>Daily minimum</t>
  </si>
  <si>
    <t>Output / learning / mode</t>
  </si>
  <si>
    <t>Uncertainty</t>
  </si>
  <si>
    <t>Next small step</t>
  </si>
  <si>
    <t>Done</t>
  </si>
  <si>
    <t>Fail Mode 1: Using Age as a search criteria Fail Mode 2: Relying on Salary as some are missing Fail Mode 3: Performance Score</t>
  </si>
  <si>
    <t>Both the DS and DE portion fell under eachother</t>
  </si>
  <si>
    <t>Refernce day_3_to_5.md as I did a quiz over all this information</t>
  </si>
  <si>
    <t>Spend more time on candiate keys</t>
  </si>
  <si>
    <t>Not started</t>
  </si>
  <si>
    <t>How to use the plan</t>
  </si>
  <si>
    <t>Item</t>
  </si>
  <si>
    <t>Guidance</t>
  </si>
  <si>
    <t>Purpose</t>
  </si>
  <si>
    <t>A refresher for Sebastian, who already knows Python, pandas, SQL, visualization, and engineering fundamentals. Practice daily October 1–31; start the new job October 26.</t>
  </si>
  <si>
    <t>Minimum per area</t>
  </si>
  <si>
    <t>One 25-minute Pomodoro: 20 minutes on the core task and 5 minutes capturing the checkpoint. DS + DE = 50 focused minutes, about 55 with a break.</t>
  </si>
  <si>
    <t>Preferred per area</t>
  </si>
  <si>
    <t>25 minutes P1, 5-minute break, 25 minutes P2, 5 minutes recording the result. About one hour per area, two hours total; split sessions across the day.</t>
  </si>
  <si>
    <t>Concept-only days</t>
  </si>
  <si>
    <t>Replace each hands-on track with its concept alternative. Spend 20 minutes listening, reading, or thinking and 5 recalling without the source. A voice note counts as output. For P2, work another example or critique a design.</t>
  </si>
  <si>
    <t>Search prompts</t>
  </si>
  <si>
    <t>Concept alternatives contain suggested YouTube/search topics, not researched video recommendations. Choose one relevant explanation; searching is not the task.</t>
  </si>
  <si>
    <t>Track progress</t>
  </si>
  <si>
    <t>In Progress, choose a status and enter focused minutes for each area. Done means the P1 task or concept alternative and a checkpoint are complete. A complete day also needs at least 25 minutes per area. Amber cells are editable.</t>
  </si>
  <si>
    <t>Record the result</t>
  </si>
  <si>
    <t>Log hands-on or concept mode, an output or voice-note location, something you can explain again, one uncertainty or failed check, and the next small step.</t>
  </si>
  <si>
    <t>Missed day</t>
  </si>
  <si>
    <t>Resume on the current date. Do not double the next day. If an earlier artifact is missing, use a tiny sample.</t>
  </si>
  <si>
    <t>October 26–31</t>
  </si>
  <si>
    <t>Favor minimum mode around onboarding. Keep both tracks and the same mix of SQL, notebooks, APIs, visualization, databases, and pipelines. P2 remains optional; there is no capstone deadline.</t>
  </si>
  <si>
    <t>Recurring dataset</t>
  </si>
  <si>
    <t>Use 30–100 synthetic equipment-maintenance rows: assets, units, work orders, parts, and work-order parts. Include inconsistent IDs, duplicates, missing values, mixed dates, a semicolon-separated parts field, JSON metadata, and free-text notes.</t>
  </si>
  <si>
    <t>Data formats</t>
  </si>
  <si>
    <t>CSV is structured, though fields may be messy or semi-structured. Free-text maintenance notes supply the unstructured portion. Practice with all three.</t>
  </si>
  <si>
    <t>Practice data</t>
  </si>
  <si>
    <t>Use synthetic or public, non-sensitive data. Keep workplace, classified, controlled, personal information, and credentials out of the personal repository and public services.</t>
  </si>
  <si>
    <t>Tools</t>
  </si>
  <si>
    <t>Use familiar Python/pandas, Jupyter, a plotting library, and SQLite or your existing SQL database. Record dialect differences. Enable SQLite foreign-key enforcement on every connection. Avoid spending a session on infrastructure.</t>
  </si>
  <si>
    <t>Oct 1–7</t>
  </si>
  <si>
    <t>Messy CSV to cleaned records to normalized relational schema. Practice keys, relationships, grain, 1NF, 2NF, and 3NF.</t>
  </si>
  <si>
    <t>Oct 8–14</t>
  </si>
  <si>
    <t>Load SQL tables, answer questions, and test an incremental pipeline.</t>
  </si>
  <si>
    <t>Oct 15–21</t>
  </si>
  <si>
    <t>JSON/API and text ingestion, analytical modeling, and reliable reruns.</t>
  </si>
  <si>
    <t>Oct 22–25</t>
  </si>
  <si>
    <t>Revisit weak spots through short notebook, SQL, and pipeline exercises.</t>
  </si>
  <si>
    <t>Oct 26–31</t>
  </si>
  <si>
    <t>Maintain the same mixed practice during the first workweek.</t>
  </si>
  <si>
    <t>README.md</t>
  </si>
  <si>
    <t>Plan and instructions for using the repository.</t>
  </si>
  <si>
    <t>data/sample/</t>
  </si>
  <si>
    <t>Small synthetic/public fixtures and provenance.</t>
  </si>
  <si>
    <t>notebooks/</t>
  </si>
  <si>
    <t>Cleaning, EDA, statistics, and visualization.</t>
  </si>
  <si>
    <t>src/</t>
  </si>
  <si>
    <t>Reusable ingestion and cleaning code.</t>
  </si>
  <si>
    <t>sql/</t>
  </si>
  <si>
    <t>Schema, queries, and checks.</t>
  </si>
  <si>
    <t>docs/</t>
  </si>
  <si>
    <t>Data dictionary, schema sketch, and daily log.</t>
  </si>
  <si>
    <t>outputs/</t>
  </si>
  <si>
    <t>Small charts and summaries.</t>
  </si>
  <si>
    <t>Version control</t>
  </si>
  <si>
    <t>Keep local databases and bulky generated extracts out of version control. Document how to reproduce them. Each minimum project should work on a tiny sample.</t>
  </si>
  <si>
    <t>Month-end checkpoint</t>
  </si>
  <si>
    <t>Consistent practice in both areas, repeatable small workflows, clearer SQL and schema reasoning, and a sustainable rhythm. Completing every optional P2 is not required.</t>
  </si>
  <si>
    <t>Source</t>
  </si>
  <si>
    <t>Converted from Sebastian’s October 2026 Re-entry Plan, the Markdown plan created in this chat. Daily tasks, extensions, concept alternatives, and checkpoints are preserved.</t>
  </si>
  <si>
    <t>Technical Fluency Refresher — Project Dashboard</t>
  </si>
  <si>
    <t>Priority</t>
  </si>
  <si>
    <t>Technical fluency → stronger data science → analytics</t>
  </si>
  <si>
    <t>Start of project phase</t>
  </si>
  <si>
    <t>60 minutes; continue longer when in flow</t>
  </si>
  <si>
    <t>Projects</t>
  </si>
  <si>
    <t>Datasets</t>
  </si>
  <si>
    <t>User-selected; see Dataset Guide</t>
  </si>
  <si>
    <t>Warm-up history</t>
  </si>
  <si>
    <t>Original Daily plan / Progress / Guide sheets preserved</t>
  </si>
  <si>
    <t>Project</t>
  </si>
  <si>
    <t>Planned Window</t>
  </si>
  <si>
    <t>Goal</t>
  </si>
  <si>
    <t>Checklist Items</t>
  </si>
  <si>
    <t>Completed</t>
  </si>
  <si>
    <t>Progress</t>
  </si>
  <si>
    <t>Project 1 — Analytics &amp; Dashboard</t>
  </si>
  <si>
    <t>Oct 26 – Nov 04, 2026</t>
  </si>
  <si>
    <t>Build an end-to-end analytical workflow from a moderately messy dataset to defensible metrics, visuals, and a dashboard.</t>
  </si>
  <si>
    <t>Project 2 — Data Science / ML</t>
  </si>
  <si>
    <t>Nov 05 – Nov 18, 2026</t>
  </si>
  <si>
    <t>Practice the full data-science workflow: target definition, baselines, feature engineering, validation, diagnostics, interpretation, and uncertainty.</t>
  </si>
  <si>
    <t>Project 3 — SQL + Integrated Workflow</t>
  </si>
  <si>
    <t>Nov 19 – Nov 30, 2026</t>
  </si>
  <si>
    <t>Build a realistic source → staging → PostgreSQL → analytical output workflow, then use the stored data for analysis or a lightweight model.</t>
  </si>
  <si>
    <t>KPI</t>
  </si>
  <si>
    <t>Value</t>
  </si>
  <si>
    <t>Total checklist items</t>
  </si>
  <si>
    <t>Completed checklist items</t>
  </si>
  <si>
    <t>Total learning hours</t>
  </si>
  <si>
    <t>Days with logged time</t>
  </si>
  <si>
    <t>How to use this workbook</t>
  </si>
  <si>
    <t>1.</t>
  </si>
  <si>
    <t>Pick a dataset using Dataset Guide. Do not force a topic; choose data that creates useful questions.</t>
  </si>
  <si>
    <t>2.</t>
  </si>
  <si>
    <t>Use Project Checklist as the planned work. The checklist is sequential, but you may continue beyond the day's minimum.</t>
  </si>
  <si>
    <t>3.</t>
  </si>
  <si>
    <t>Record what actually happened in Daily Journal: concepts practiced, uncertainty, decision, time, and next step.</t>
  </si>
  <si>
    <t>4.</t>
  </si>
  <si>
    <t>Use DS Concepts when a project step exposes a weak concept. The point is to research it because the project needs it.</t>
  </si>
  <si>
    <t>5.</t>
  </si>
  <si>
    <t>Realism Questions are prompts. Answer them before looking for a solution whenever possible.</t>
  </si>
  <si>
    <t>6.</t>
  </si>
  <si>
    <t>Project 3 intentionally introduces PostgreSQL/Docker only after pandas/DS fluency is re-established.</t>
  </si>
  <si>
    <t>Project-Based Refresher Checklist</t>
  </si>
  <si>
    <t>Day</t>
  </si>
  <si>
    <t>Project Phase</t>
  </si>
  <si>
    <t>Daily Focus</t>
  </si>
  <si>
    <t>Checklist Item</t>
  </si>
  <si>
    <t>Category</t>
  </si>
  <si>
    <t>Status</t>
  </si>
  <si>
    <t>DS Concept(s)</t>
  </si>
  <si>
    <t>DE Concept(s)</t>
  </si>
  <si>
    <t>Realism Question</t>
  </si>
  <si>
    <t>Expected Output</t>
  </si>
  <si>
    <t>Stretch / If In Flow</t>
  </si>
  <si>
    <t>Problem framing</t>
  </si>
  <si>
    <t>Choose and understand the dataset before cleaning it</t>
  </si>
  <si>
    <t>Confirm dataset fits the project-selection criteria</t>
  </si>
  <si>
    <t>Combined</t>
  </si>
  <si>
    <t>Observational unit/grain; measurement scales; problem framing</t>
  </si>
  <si>
    <t>Source inspection; ingestion assumptions; data contracts</t>
  </si>
  <si>
    <t>What would make one row ambiguous, and what would you need from the source owner to resolve it?</t>
  </si>
  <si>
    <t>Dataset fit note + grain statement + initial questions</t>
  </si>
  <si>
    <t>Create a short data dictionary for the most important fields.</t>
  </si>
  <si>
    <t>State what one row represents and identify the likely unit of analysis</t>
  </si>
  <si>
    <t>Data Science</t>
  </si>
  <si>
    <t>Write 3–5 analytical questions without touching the data yet</t>
  </si>
  <si>
    <t>Data Engineering</t>
  </si>
  <si>
    <t>List assumptions you are currently making about the source</t>
  </si>
  <si>
    <t>Review</t>
  </si>
  <si>
    <t>Ingestion &amp; profiling</t>
  </si>
  <si>
    <t>Load deliberately and build a trustworthy first profile</t>
  </si>
  <si>
    <t>Load with explicit encoding/delimiter where known</t>
  </si>
  <si>
    <t>Descriptive statistics; missingness; distributions</t>
  </si>
  <si>
    <t>Encoding; delimiter; dtypes; identifiers; schema inspection</t>
  </si>
  <si>
    <t>Which columns would be most dangerous for pandas to infer incorrectly?</t>
  </si>
  <si>
    <t>Baseline profiling notebook</t>
  </si>
  <si>
    <t>Create an input contract with 3–5 rejection/warning rules.</t>
  </si>
  <si>
    <t>Protect identifier-like fields from unwanted numeric coercion</t>
  </si>
  <si>
    <t>Profile shape, dtypes, missingness, cardinality, and duplicates</t>
  </si>
  <si>
    <t>Flag malformed or suspicious fields rather than fixing them immediately</t>
  </si>
  <si>
    <t>Data quality investigation</t>
  </si>
  <si>
    <t>Decide which problems are errors, oddities, or valid edge cases</t>
  </si>
  <si>
    <t>Inspect missingness patterns, not only null totals</t>
  </si>
  <si>
    <t>Missing-data mechanisms; outliers; categorical validity</t>
  </si>
  <si>
    <t>Validation rules; duplicate detection; rejected-row logic</t>
  </si>
  <si>
    <t>If a value looks impossible, what evidence would justify correcting it versus quarantining it?</t>
  </si>
  <si>
    <t>Data-quality findings with decisions</t>
  </si>
  <si>
    <t>Create a rejected/flagged rows dataframe with reasons.</t>
  </si>
  <si>
    <t>Inspect categorical values for inconsistent labels</t>
  </si>
  <si>
    <t>Inspect numeric ranges and extreme values</t>
  </si>
  <si>
    <t>Investigate duplicate candidates using the established grain</t>
  </si>
  <si>
    <t>Cleaning &amp; validation</t>
  </si>
  <si>
    <t>Create a defensible silver/clean dataset</t>
  </si>
  <si>
    <t>Standardize column names and intended dtypes</t>
  </si>
  <si>
    <t>Bias from cleaning; robust statistics; before/after comparisons</t>
  </si>
  <si>
    <t>Type enforcement; transformation rules; reconciliation</t>
  </si>
  <si>
    <t>Which cleaning step could silently change the meaning of the data?</t>
  </si>
  <si>
    <t>Clean dataframe + validation summary</t>
  </si>
  <si>
    <t>Wrap repeated cleaning logic into small reusable functions.</t>
  </si>
  <si>
    <t>Apply only defensible cleaning rules</t>
  </si>
  <si>
    <t>Compare before/after row counts, nulls, and key distributions</t>
  </si>
  <si>
    <t>Document transformations that materially alter values</t>
  </si>
  <si>
    <t>Descriptive analysis</t>
  </si>
  <si>
    <t>Move from clean data to meaningful summaries</t>
  </si>
  <si>
    <t>Define 2–4 core metrics with numerator/denominator/exclusions</t>
  </si>
  <si>
    <t>Mean vs median; variance; quantiles; skewness; sample size</t>
  </si>
  <si>
    <t>Grain-aware aggregation; reproducible summaries</t>
  </si>
  <si>
    <t>What denominator is behind every metric you are about to report?</t>
  </si>
  <si>
    <t>Metric definitions + summary tables</t>
  </si>
  <si>
    <t>Create reusable aggregation functions.</t>
  </si>
  <si>
    <t>Create grouped summaries for important categories</t>
  </si>
  <si>
    <t>Compare mean, median, spread, and sample size where relevant</t>
  </si>
  <si>
    <t>Identify at least one metric that would be misleading without context</t>
  </si>
  <si>
    <t>Relationships &amp; statistical thinking</t>
  </si>
  <si>
    <t>Investigate relationships without overclaiming</t>
  </si>
  <si>
    <t>Explore one numeric–numeric relationship</t>
  </si>
  <si>
    <t>Correlation vs causation; effect size; confounding; confidence intervals</t>
  </si>
  <si>
    <t>Join/cardinality checks if multiple tables are used</t>
  </si>
  <si>
    <t>What alternative explanation could produce the same pattern you are seeing?</t>
  </si>
  <si>
    <t>Relationship analysis + caveats</t>
  </si>
  <si>
    <t>Research a statistical test appropriate to one comparison and state its assumptions.</t>
  </si>
  <si>
    <t>Explore one categorical–numeric comparison</t>
  </si>
  <si>
    <t>Quantify effect size or uncertainty where appropriate</t>
  </si>
  <si>
    <t>Write one interpretation that explicitly avoids causal language</t>
  </si>
  <si>
    <t>Visualization design</t>
  </si>
  <si>
    <t>Choose visuals that answer questions rather than decorate</t>
  </si>
  <si>
    <t>Match each key question to an appropriate visual</t>
  </si>
  <si>
    <t>Visual encoding; distributions; uncertainty; misleading charts</t>
  </si>
  <si>
    <t>Reproducible chart generation; output organization</t>
  </si>
  <si>
    <t>What could a viewer incorrectly conclude from this chart?</t>
  </si>
  <si>
    <t>Chart set with captions</t>
  </si>
  <si>
    <t>Create a deliberately misleading version of one chart, then explain why it is misleading.</t>
  </si>
  <si>
    <t>Create 2–4 first-pass charts</t>
  </si>
  <si>
    <t>Check axes, units, labels, missing categories, and denominators</t>
  </si>
  <si>
    <t>Write one-sentence takeaway + limitation for each chart</t>
  </si>
  <si>
    <t>Dashboard build</t>
  </si>
  <si>
    <t>Assemble a first dashboard from validated metrics</t>
  </si>
  <si>
    <t>Choose the dashboard audience and decision they need to make</t>
  </si>
  <si>
    <t>Metric hierarchy; cognitive load; storytelling</t>
  </si>
  <si>
    <t>Reusable transformations; consistent metric definitions</t>
  </si>
  <si>
    <t>If two dashboard tiles disagree, where would you trace the discrepancy?</t>
  </si>
  <si>
    <t>Dashboard v1 + reconciliation notes</t>
  </si>
  <si>
    <t>Add one filter/slicer or comparative view only if it helps the decision.</t>
  </si>
  <si>
    <t>Select a small set of primary metrics</t>
  </si>
  <si>
    <t>Build the first dashboard layout</t>
  </si>
  <si>
    <t>Reconcile dashboard values back to source summaries</t>
  </si>
  <si>
    <t>Robustness &amp; refinement</t>
  </si>
  <si>
    <t>Stress-test conclusions and dashboard logic</t>
  </si>
  <si>
    <t>Re-run a key metric under an alternate reasonable assumption</t>
  </si>
  <si>
    <t>Sensitivity analysis; subgroup analysis; uncertainty; Simpson's paradox awareness</t>
  </si>
  <si>
    <t>Reproducibility; data-quality checks; rerun safety</t>
  </si>
  <si>
    <t>What result would change if you excluded one subgroup or changed one reasonable assumption?</t>
  </si>
  <si>
    <t>Robustness notes + dashboard v2</t>
  </si>
  <si>
    <t>Create a short limitations section suitable for a stakeholder.</t>
  </si>
  <si>
    <t>Inspect at least one subgroup for hidden differences</t>
  </si>
  <si>
    <t>Test the workflow from a clean kernel/session</t>
  </si>
  <si>
    <t>Revise one chart or metric based on what you found</t>
  </si>
  <si>
    <t>Communicate &amp; review</t>
  </si>
  <si>
    <t>Explain the project end to end and identify weak spots</t>
  </si>
  <si>
    <t>Summarize the business question, data, method, and findings</t>
  </si>
  <si>
    <t>Communicating uncertainty; analytical limitations; decision relevance</t>
  </si>
  <si>
    <t>Lineage; reproducibility; handoff thinking</t>
  </si>
  <si>
    <t>Could another analyst reproduce your result without asking you what you meant?</t>
  </si>
  <si>
    <t>Final analytical brief + project retrospective</t>
  </si>
  <si>
    <t>Give yourself a five-minute verbal walkthrough without looking at notes.</t>
  </si>
  <si>
    <t>Explain the grain and biggest data-quality decision</t>
  </si>
  <si>
    <t>State 3 limitations and 2 next analyses</t>
  </si>
  <si>
    <t>Record what DS concept felt weakest and what DE concept felt weakest</t>
  </si>
  <si>
    <t>Problem &amp; target</t>
  </si>
  <si>
    <t>Define a prediction problem worth modeling</t>
  </si>
  <si>
    <t>Define the target and prediction horizon</t>
  </si>
  <si>
    <t>Target definition; prediction horizon; unit of prediction</t>
  </si>
  <si>
    <t>Source/target lineage; target availability</t>
  </si>
  <si>
    <t>At prediction time, would the target or any proxy for it already be known?</t>
  </si>
  <si>
    <t>Modeling problem statement</t>
  </si>
  <si>
    <t>Write what decision the prediction would actually support.</t>
  </si>
  <si>
    <t>State one row / one prediction grain</t>
  </si>
  <si>
    <t>List success criteria and a naive baseline</t>
  </si>
  <si>
    <t>Identify obvious leakage candidates</t>
  </si>
  <si>
    <t>Split strategy</t>
  </si>
  <si>
    <t>Design evaluation before feature engineering</t>
  </si>
  <si>
    <t>Choose random, grouped, or time-based split</t>
  </si>
  <si>
    <t>Train/validation/test logic; temporal splits; sampling</t>
  </si>
  <si>
    <t>Dataset versioning; reproducible split logic</t>
  </si>
  <si>
    <t>Would a random split accidentally let the future teach the past?</t>
  </si>
  <si>
    <t>Frozen evaluation design</t>
  </si>
  <si>
    <t>Research grouped or time-series CV if applicable.</t>
  </si>
  <si>
    <t>Create the split before extensive feature work</t>
  </si>
  <si>
    <t>Check target distribution across splits</t>
  </si>
  <si>
    <t>Document why the split matches the real use case</t>
  </si>
  <si>
    <t>Baseline</t>
  </si>
  <si>
    <t>Create something simple that every later model must beat</t>
  </si>
  <si>
    <t>Build a naive baseline</t>
  </si>
  <si>
    <t>Baseline models; error metrics; prevalence/base rate</t>
  </si>
  <si>
    <t>Reproducible training script/notebook</t>
  </si>
  <si>
    <t>What does 'good' mean if a trivial model already scores highly?</t>
  </si>
  <si>
    <t>Baseline scorecard</t>
  </si>
  <si>
    <t>Calculate a confidence interval or variability estimate for the baseline if feasible.</t>
  </si>
  <si>
    <t>Select primary and secondary evaluation metrics</t>
  </si>
  <si>
    <t>Record baseline performance</t>
  </si>
  <si>
    <t>Check whether the metric is appropriate for imbalance or skew</t>
  </si>
  <si>
    <t>Preprocessing</t>
  </si>
  <si>
    <t>Build preprocessing without leaking information</t>
  </si>
  <si>
    <t>Separate numeric/categorical preprocessing</t>
  </si>
  <si>
    <t>Scaling; encoding; imputation; transformations</t>
  </si>
  <si>
    <t>Fit/transform discipline; pipeline structure</t>
  </si>
  <si>
    <t>Which preprocessing statistics must be learned only from training data?</t>
  </si>
  <si>
    <t>Preprocessing pipeline</t>
  </si>
  <si>
    <t>Compare one alternate encoding or transformation and explain tradeoffs.</t>
  </si>
  <si>
    <t>Fit imputers/encoders only on training data</t>
  </si>
  <si>
    <t>Handle unknown categories safely</t>
  </si>
  <si>
    <t>Package preprocessing into a reproducible pipeline</t>
  </si>
  <si>
    <t>Feature engineering</t>
  </si>
  <si>
    <t>Create features from domain logic, not noise</t>
  </si>
  <si>
    <t>Create a small set of defensible features</t>
  </si>
  <si>
    <t>Feature usefulness; interactions; nonlinearity; leakage</t>
  </si>
  <si>
    <t>Feature lineage; deterministic transformations</t>
  </si>
  <si>
    <t>Could this feature exist at the exact moment a prediction would be made?</t>
  </si>
  <si>
    <t>Feature table + leakage notes</t>
  </si>
  <si>
    <t>Research one domain-informed feature you did not initially consider.</t>
  </si>
  <si>
    <t>Record the source and availability time for each feature</t>
  </si>
  <si>
    <t>Remove or quarantine leakage features</t>
  </si>
  <si>
    <t>Compare baseline with and without engineered features</t>
  </si>
  <si>
    <t>First models</t>
  </si>
  <si>
    <t>Train a small, interpretable model set</t>
  </si>
  <si>
    <t>Train 2–3 reasonable model families</t>
  </si>
  <si>
    <t>Underfitting/overfitting; bias-variance; model families</t>
  </si>
  <si>
    <t>Experiment tracking discipline</t>
  </si>
  <si>
    <t>Are you comparing models fairly using the same splits and preprocessing?</t>
  </si>
  <si>
    <t>Model comparison table</t>
  </si>
  <si>
    <t>Add learning curves or train-vs-validation comparison.</t>
  </si>
  <si>
    <t>Use identical evaluation splits</t>
  </si>
  <si>
    <t>Record parameters and metrics</t>
  </si>
  <si>
    <t>Prefer a simple model unless complexity earns its place</t>
  </si>
  <si>
    <t>Evaluation depth</t>
  </si>
  <si>
    <t>Understand what the headline metric hides</t>
  </si>
  <si>
    <t>Break down the primary metric into complementary metrics</t>
  </si>
  <si>
    <t>Precision/recall/F1/ROC-AUC/PR-AUC or MAE/RMSE/R²</t>
  </si>
  <si>
    <t>Consistent evaluation outputs</t>
  </si>
  <si>
    <t>Which type of error is actually more expensive in this problem?</t>
  </si>
  <si>
    <t>Evaluation report</t>
  </si>
  <si>
    <t>Choose and justify a decision threshold if classification.</t>
  </si>
  <si>
    <t>Inspect confusion matrix or residual distribution</t>
  </si>
  <si>
    <t>Evaluate performance by important subgroup</t>
  </si>
  <si>
    <t>Identify the most costly error pattern</t>
  </si>
  <si>
    <t>Cross-validation</t>
  </si>
  <si>
    <t>Estimate model stability</t>
  </si>
  <si>
    <t>Choose a CV strategy consistent with the data</t>
  </si>
  <si>
    <t>Cross-validation; variance; stratification/grouping</t>
  </si>
  <si>
    <t>Repeatable folds; seeded experiments</t>
  </si>
  <si>
    <t>Could your result be mostly luck from one train/test split?</t>
  </si>
  <si>
    <t>CV summary</t>
  </si>
  <si>
    <t>Research nested CV conceptually and explain when it matters.</t>
  </si>
  <si>
    <t>Run cross-validation on leading candidates</t>
  </si>
  <si>
    <t>Compare mean and spread across folds</t>
  </si>
  <si>
    <t>Investigate unstable folds</t>
  </si>
  <si>
    <t>Tuning</t>
  </si>
  <si>
    <t>Tune deliberately rather than exhaustively</t>
  </si>
  <si>
    <t>Select only a few meaningful hyperparameters</t>
  </si>
  <si>
    <t>Hyperparameters; search spaces; multiple comparisons</t>
  </si>
  <si>
    <t>Experiment logging; compute discipline</t>
  </si>
  <si>
    <t>Are you tuning because the model needs it, or because tuning exists?</t>
  </si>
  <si>
    <t>Tuning notes + selected model</t>
  </si>
  <si>
    <t>Estimate the compute cost versus performance gain.</t>
  </si>
  <si>
    <t>Use a bounded search strategy</t>
  </si>
  <si>
    <t>Compare tuned model to untuned baseline</t>
  </si>
  <si>
    <t>Reject complexity that produces negligible gain</t>
  </si>
  <si>
    <t>Diagnostics</t>
  </si>
  <si>
    <t>Find where the model fails</t>
  </si>
  <si>
    <t>Inspect largest errors / confident mistakes</t>
  </si>
  <si>
    <t>Residuals; calibration; error analysis; subgroup performance</t>
  </si>
  <si>
    <t>Trace errors back to source records</t>
  </si>
  <si>
    <t>Do failures cluster around a specific data-quality problem or population?</t>
  </si>
  <si>
    <t>Error-analysis notebook</t>
  </si>
  <si>
    <t>Create an error taxonomy.</t>
  </si>
  <si>
    <t>Check performance across key subgroups</t>
  </si>
  <si>
    <t>Look for systematic residual patterns or calibration issues</t>
  </si>
  <si>
    <t>Trace several failures back to original rows</t>
  </si>
  <si>
    <t>Interpretability</t>
  </si>
  <si>
    <t>Understand what is driving predictions</t>
  </si>
  <si>
    <t>Inspect global feature influence</t>
  </si>
  <si>
    <t>Feature importance; coefficients; partial dependence/SHAP concepts</t>
  </si>
  <si>
    <t>Feature provenance</t>
  </si>
  <si>
    <t>Does a strong feature make domain sense, or is it a suspicious proxy?</t>
  </si>
  <si>
    <t>Interpretability notes</t>
  </si>
  <si>
    <t>Research SHAP or PDP limitations rather than only how to generate them.</t>
  </si>
  <si>
    <t>Inspect several individual predictions</t>
  </si>
  <si>
    <t>Compare explanation with domain expectations</t>
  </si>
  <si>
    <t>Flag suspicious proxy or leakage-like behavior</t>
  </si>
  <si>
    <t>Separate prediction from certainty</t>
  </si>
  <si>
    <t>Assess probability calibration or residual uncertainty</t>
  </si>
  <si>
    <t>Calibration; prediction intervals; probability quality</t>
  </si>
  <si>
    <t>Output contracts; confidence fields</t>
  </si>
  <si>
    <t>How should a user behave differently when the model is uncertain?</t>
  </si>
  <si>
    <t>Uncertainty section</t>
  </si>
  <si>
    <t>Try a simple calibration method or prediction interval if appropriate.</t>
  </si>
  <si>
    <t>Identify low-confidence cases</t>
  </si>
  <si>
    <t>Define when a model output should be withheld/escalated</t>
  </si>
  <si>
    <t>Document uncertainty in plain language</t>
  </si>
  <si>
    <t>Reproducibility</t>
  </si>
  <si>
    <t>Make the analysis rerunnable</t>
  </si>
  <si>
    <t>Run the pipeline from clean start to evaluation</t>
  </si>
  <si>
    <t>Random seeds; reproducibility; model cards</t>
  </si>
  <si>
    <t>Environment, pipeline, artifact versioning</t>
  </si>
  <si>
    <t>Could you recreate this exact model next month from raw data?</t>
  </si>
  <si>
    <t>Reproducible final run + model card</t>
  </si>
  <si>
    <t>Move repeated logic from notebook cells into functions/scripts.</t>
  </si>
  <si>
    <t>Record data version/source and environment assumptions</t>
  </si>
  <si>
    <t>Save final preprocessing/model artifacts if appropriate</t>
  </si>
  <si>
    <t>Create a concise model card</t>
  </si>
  <si>
    <t>Explain what the model can and cannot do</t>
  </si>
  <si>
    <t>Summarize problem, data, baseline, final model, and metrics</t>
  </si>
  <si>
    <t>Decision thresholds; limitations; ethics; uncertainty</t>
  </si>
  <si>
    <t>Operational handoff; monitoring concepts</t>
  </si>
  <si>
    <t>What would you warn a stakeholder not to use this model for?</t>
  </si>
  <si>
    <t>Final ML brief + retrospective</t>
  </si>
  <si>
    <t>Give a five-minute model review as if briefing a technical lead.</t>
  </si>
  <si>
    <t>State limitations and non-use cases</t>
  </si>
  <si>
    <t>List what would need monitoring in production</t>
  </si>
  <si>
    <t>Record your weakest DS concepts for targeted review</t>
  </si>
  <si>
    <t>Architecture &amp; source</t>
  </si>
  <si>
    <t>Decide why SQL is justified before setting it up</t>
  </si>
  <si>
    <t>Describe source files and update pattern</t>
  </si>
  <si>
    <t>Analytical requirements; unit of analysis</t>
  </si>
  <si>
    <t>Architecture; source-to-target thinking; persistence</t>
  </si>
  <si>
    <t>What requirement makes a database better than staying in pandas?</t>
  </si>
  <si>
    <t>Architecture sketch</t>
  </si>
  <si>
    <t>Define a minimal Docker/PostgreSQL setup without extra infrastructure.</t>
  </si>
  <si>
    <t>Define why persistence/SQL is useful here</t>
  </si>
  <si>
    <t>Sketch raw → staging → relational/analytical layers</t>
  </si>
  <si>
    <t>List the outputs the database must support</t>
  </si>
  <si>
    <t>Environment &amp; ingestion</t>
  </si>
  <si>
    <t>Stand up PostgreSQL/Docker and land raw data</t>
  </si>
  <si>
    <t>Start the database environment</t>
  </si>
  <si>
    <t>Source profiling</t>
  </si>
  <si>
    <t>Docker basics; connection handling; ingestion</t>
  </si>
  <si>
    <t>What should happen if ingestion stops halfway through?</t>
  </si>
  <si>
    <t>Working DB + staged sample</t>
  </si>
  <si>
    <t>Add basic logging around the load.</t>
  </si>
  <si>
    <t>Create staging area/table(s)</t>
  </si>
  <si>
    <t>Load a small sample first</t>
  </si>
  <si>
    <t>Record source counts and ingestion result</t>
  </si>
  <si>
    <t>Relational modeling</t>
  </si>
  <si>
    <t>Model entities only where the source justifies it</t>
  </si>
  <si>
    <t>Identify entities and relationships</t>
  </si>
  <si>
    <t>Grain changes; entity definitions</t>
  </si>
  <si>
    <t>Keys; 1NF/2NF/3NF; cardinality; constraints</t>
  </si>
  <si>
    <t>Which attributes actually depend on the key, and which belong elsewhere?</t>
  </si>
  <si>
    <t>Schema diagram + key decisions</t>
  </si>
  <si>
    <t>Defend one deliberate denormalization.</t>
  </si>
  <si>
    <t>Choose natural/surrogate/composite keys where appropriate</t>
  </si>
  <si>
    <t>Normalize obvious repeating/dependent attributes</t>
  </si>
  <si>
    <t>Draw the schema and state table grain</t>
  </si>
  <si>
    <t>DDL &amp; constraints</t>
  </si>
  <si>
    <t>Implement the model safely</t>
  </si>
  <si>
    <t>Create tables with appropriate types</t>
  </si>
  <si>
    <t>Data validity assumptions</t>
  </si>
  <si>
    <t>DDL; PK/FK; NOT NULL; CHECK; transactions</t>
  </si>
  <si>
    <t>Which bad row should the database refuse even if pandas would accept it?</t>
  </si>
  <si>
    <t>Schema SQL + failed-row examples</t>
  </si>
  <si>
    <t>Add indexes only where a query pattern justifies them.</t>
  </si>
  <si>
    <t>Add primary/foreign keys</t>
  </si>
  <si>
    <t>Add useful NOT NULL/CHECK constraints</t>
  </si>
  <si>
    <t>Test at least one intentional constraint violation</t>
  </si>
  <si>
    <t>Load &amp; reconcile</t>
  </si>
  <si>
    <t>Load clean data and prove nothing vanished</t>
  </si>
  <si>
    <t>Load parent tables before child tables</t>
  </si>
  <si>
    <t>Reconciliation; denominator integrity</t>
  </si>
  <si>
    <t>Transactions; load order; rejected rows</t>
  </si>
  <si>
    <t>Can source + rejected + loaded counts be reconciled exactly?</t>
  </si>
  <si>
    <t>Reconciliation report</t>
  </si>
  <si>
    <t>Make the load safe to rerun.</t>
  </si>
  <si>
    <t>Use a transaction for related loads</t>
  </si>
  <si>
    <t>Reconcile source/accepted/rejected/loaded counts</t>
  </si>
  <si>
    <t>Investigate any mismatch</t>
  </si>
  <si>
    <t>SQL analysis</t>
  </si>
  <si>
    <t>Answer real questions in SQL before exporting</t>
  </si>
  <si>
    <t>Write 3–5 analytical SQL queries</t>
  </si>
  <si>
    <t>Aggregation; denominators; distributions</t>
  </si>
  <si>
    <t>SELECT/GROUP BY/HAVING; joins; CTEs</t>
  </si>
  <si>
    <t>Does this query preserve the intended grain after the joins?</t>
  </si>
  <si>
    <t>Saved query set</t>
  </si>
  <si>
    <t>Use a window function where it adds real value.</t>
  </si>
  <si>
    <t>Validate join cardinality</t>
  </si>
  <si>
    <t>Compare one SQL result with pandas</t>
  </si>
  <si>
    <t>Document metric definitions</t>
  </si>
  <si>
    <t>Analytical model</t>
  </si>
  <si>
    <t>Create a reporting-friendly layer</t>
  </si>
  <si>
    <t>Define the reporting grain</t>
  </si>
  <si>
    <t>Fact/dimension thinking; metric consistency</t>
  </si>
  <si>
    <t>Views; star schema; denormalization tradeoffs</t>
  </si>
  <si>
    <t>Which fields belong in the reporting layer rather than the operational model?</t>
  </si>
  <si>
    <t>Reporting view/table</t>
  </si>
  <si>
    <t>Compare normalized versus reporting-model tradeoffs.</t>
  </si>
  <si>
    <t>Create one view or analytical table</t>
  </si>
  <si>
    <t>Document upstream dependencies</t>
  </si>
  <si>
    <t>Check the view against base-table totals</t>
  </si>
  <si>
    <t>Analysis from SQL</t>
  </si>
  <si>
    <t>Use the database as the source for DS/analytics work</t>
  </si>
  <si>
    <t>Pull only required fields into pandas</t>
  </si>
  <si>
    <t>EDA from query extracts; sampling</t>
  </si>
  <si>
    <t>Query-to-pandas workflow; data contracts</t>
  </si>
  <si>
    <t>What transformations belong in SQL and what belongs in pandas?</t>
  </si>
  <si>
    <t>SQL-to-pandas analysis</t>
  </si>
  <si>
    <t>Parameterize the query or date window.</t>
  </si>
  <si>
    <t>Profile the extracted analytical dataset</t>
  </si>
  <si>
    <t>Perform one deeper DS/analytics investigation</t>
  </si>
  <si>
    <t>Reconcile results back to SQL</t>
  </si>
  <si>
    <t>Incremental updates</t>
  </si>
  <si>
    <t>Handle new, changed, and late data</t>
  </si>
  <si>
    <t>Add a second batch with new and changed rows</t>
  </si>
  <si>
    <t>Distribution drift awareness</t>
  </si>
  <si>
    <t>Upserts; watermarks; idempotency; late-arriving data</t>
  </si>
  <si>
    <t>How would a corrected historical row reach the final table?</t>
  </si>
  <si>
    <t>Incremental-load test</t>
  </si>
  <si>
    <t>Track a simple high-water mark or batch ID.</t>
  </si>
  <si>
    <t>Define insert/update behavior</t>
  </si>
  <si>
    <t>Test rerunning the same batch</t>
  </si>
  <si>
    <t>Handle one late-arriving or corrected record</t>
  </si>
  <si>
    <t>Quality &amp; observability</t>
  </si>
  <si>
    <t>Detect silent pipeline problems</t>
  </si>
  <si>
    <t>Add freshness/volume/uniqueness checks</t>
  </si>
  <si>
    <t>Data drift; data-quality thresholds</t>
  </si>
  <si>
    <t>Freshness; volume; uniqueness; run logging</t>
  </si>
  <si>
    <t>Which failure could produce a believable but wrong dashboard?</t>
  </si>
  <si>
    <t>Quality checks + run log</t>
  </si>
  <si>
    <t>Compare source distribution to prior batch for drift.</t>
  </si>
  <si>
    <t>Define severity for each check</t>
  </si>
  <si>
    <t>Record run metadata and row counts</t>
  </si>
  <si>
    <t>Force one failure and verify the response</t>
  </si>
  <si>
    <t>Performance &amp; maintainability</t>
  </si>
  <si>
    <t>Improve only where evidence justifies it</t>
  </si>
  <si>
    <t>Inspect one meaningful query plan</t>
  </si>
  <si>
    <t>Sampling/performance tradeoffs</t>
  </si>
  <si>
    <t>EXPLAIN/query plans; indexes; modular code</t>
  </si>
  <si>
    <t>What is actually slow, and what evidence proves it?</t>
  </si>
  <si>
    <t>Query-plan note + cleaned code</t>
  </si>
  <si>
    <t>Measure before/after performance if the dataset is large enough.</t>
  </si>
  <si>
    <t>Add or reject an index based on evidence</t>
  </si>
  <si>
    <t>Move repeated pipeline logic into functions/scripts</t>
  </si>
  <si>
    <t>Review configuration/credentials handling</t>
  </si>
  <si>
    <t>End-to-end review</t>
  </si>
  <si>
    <t>Run the whole workflow and explain it</t>
  </si>
  <si>
    <t>Run source → database → analysis from a clean start</t>
  </si>
  <si>
    <t>Analytical communication; uncertainty; limitations</t>
  </si>
  <si>
    <t>Reproducibility; lineage; recovery</t>
  </si>
  <si>
    <t>Could another analyst rebuild the result from only your repository and source files?</t>
  </si>
  <si>
    <t>End-to-end run + final retrospective</t>
  </si>
  <si>
    <t>Give yourself a technical walkthrough covering both the data model and the analysis.</t>
  </si>
  <si>
    <t>Verify counts and major metrics</t>
  </si>
  <si>
    <t>Summarize architecture, analysis, and limitations</t>
  </si>
  <si>
    <t>Record DS/DE weak spots and next learning priorities</t>
  </si>
  <si>
    <t>Daily Learning Journal</t>
  </si>
  <si>
    <t>Checklist Completion</t>
  </si>
  <si>
    <t>DS Concepts Practiced</t>
  </si>
  <si>
    <t>DE Concepts Practiced</t>
  </si>
  <si>
    <t>What I Learned</t>
  </si>
  <si>
    <t>Problem / Uncertainty</t>
  </si>
  <si>
    <t>Decision Made</t>
  </si>
  <si>
    <t>Next Step</t>
  </si>
  <si>
    <t>Time Spent (Minutes)</t>
  </si>
  <si>
    <t>Artifact / Notebook</t>
  </si>
  <si>
    <t>Data Science Concepts to Keep in Mind</t>
  </si>
  <si>
    <t>Concept</t>
  </si>
  <si>
    <t>Plain-English Meaning</t>
  </si>
  <si>
    <t>Questions to Ask Yourself</t>
  </si>
  <si>
    <t>When It Matters</t>
  </si>
  <si>
    <t>Project Tie-In</t>
  </si>
  <si>
    <t>Quick Practice</t>
  </si>
  <si>
    <t>Translate a vague goal into a measurable analytical or predictive question.</t>
  </si>
  <si>
    <t>What decision is this meant to support? What exactly is the outcome?</t>
  </si>
  <si>
    <t>Before analysis or modeling</t>
  </si>
  <si>
    <t>All projects</t>
  </si>
  <si>
    <t>Rewrite one vague question into a measurable one.</t>
  </si>
  <si>
    <t>Observational unit / grain</t>
  </si>
  <si>
    <t>Define what one row or one prediction represents.</t>
  </si>
  <si>
    <t>What does one row mean before and after this transformation?</t>
  </si>
  <si>
    <t>Always</t>
  </si>
  <si>
    <t>State the grain before and after a groupby, join, or explode.</t>
  </si>
  <si>
    <t>Measurement scales</t>
  </si>
  <si>
    <t>Know whether a variable is nominal, ordinal, interval, or ratio-like.</t>
  </si>
  <si>
    <t>Does averaging this field make sense? Does order matter?</t>
  </si>
  <si>
    <t>Profiling and feature design</t>
  </si>
  <si>
    <t>Projects 1–2</t>
  </si>
  <si>
    <t>Classify five columns and justify the operations you would allow.</t>
  </si>
  <si>
    <t>Descriptive statistics</t>
  </si>
  <si>
    <t>Summarize center, spread, shape, and count.</t>
  </si>
  <si>
    <t>Should I use mean or median? What does spread add?</t>
  </si>
  <si>
    <t>EDA</t>
  </si>
  <si>
    <t>Project 1</t>
  </si>
  <si>
    <t>Compare mean, median, IQR, and standard deviation for one variable.</t>
  </si>
  <si>
    <t>Distributions</t>
  </si>
  <si>
    <t>Understand how values are shaped, skewed, or clustered.</t>
  </si>
  <si>
    <t>Is the distribution symmetric? Heavy-tailed? Multimodal?</t>
  </si>
  <si>
    <t>EDA and modeling</t>
  </si>
  <si>
    <t>Plot a histogram and ECDF; explain what each reveals.</t>
  </si>
  <si>
    <t>Sampling &amp; representativeness</t>
  </si>
  <si>
    <t>Determine whether the observed data represents the population of interest.</t>
  </si>
  <si>
    <t>Who is missing from the data? How was this sample created?</t>
  </si>
  <si>
    <t>Any inference</t>
  </si>
  <si>
    <t>Write two ways the sample could be biased.</t>
  </si>
  <si>
    <t>Missing data</t>
  </si>
  <si>
    <t>Missingness can carry information and can bias results.</t>
  </si>
  <si>
    <t>Is missingness random, systematic, or tied to another variable?</t>
  </si>
  <si>
    <t>Cleaning and modeling</t>
  </si>
  <si>
    <t>Compare missingness rates across two subgroups.</t>
  </si>
  <si>
    <t>Outliers</t>
  </si>
  <si>
    <t>Extreme values can be errors, valid rare cases, or the most important observations.</t>
  </si>
  <si>
    <t>What evidence says this value is wrong?</t>
  </si>
  <si>
    <t>Cleaning and diagnostics</t>
  </si>
  <si>
    <t>Show a metric with and without an extreme value.</t>
  </si>
  <si>
    <t>Correlation vs causation</t>
  </si>
  <si>
    <t>Association does not establish cause.</t>
  </si>
  <si>
    <t>What confounder could explain this relationship?</t>
  </si>
  <si>
    <t>Relationship analysis</t>
  </si>
  <si>
    <t>Write one causal-sounding sentence, then make it appropriately non-causal.</t>
  </si>
  <si>
    <t>Confounding</t>
  </si>
  <si>
    <t>A third variable can create or hide an apparent relationship.</t>
  </si>
  <si>
    <t>What variable influences both X and Y?</t>
  </si>
  <si>
    <t>EDA and interpretation</t>
  </si>
  <si>
    <t>Stratify one relationship by a plausible confounder.</t>
  </si>
  <si>
    <t>Hypothesis testing</t>
  </si>
  <si>
    <t>Quantify how surprising data would be under a null assumption.</t>
  </si>
  <si>
    <t>What is H0? Are assumptions met? Is this test even needed?</t>
  </si>
  <si>
    <t>Comparisons</t>
  </si>
  <si>
    <t>State H0/H1 and assumptions before running a test.</t>
  </si>
  <si>
    <t>Confidence intervals</t>
  </si>
  <si>
    <t>Express uncertainty around an estimate rather than only a point value.</t>
  </si>
  <si>
    <t>How precise is this estimate?</t>
  </si>
  <si>
    <t>Reporting and inference</t>
  </si>
  <si>
    <t>Compute/interpret a CI for a mean or proportion.</t>
  </si>
  <si>
    <t>Effect size</t>
  </si>
  <si>
    <t>Measure how large a difference/relationship is, not just whether it is statistically detectable.</t>
  </si>
  <si>
    <t>Is the effect meaningful in practice?</t>
  </si>
  <si>
    <t>Report an effect size alongside a p-value or group difference.</t>
  </si>
  <si>
    <t>Create useful predictors from raw information using domain logic.</t>
  </si>
  <si>
    <t>Would this feature exist at prediction time?</t>
  </si>
  <si>
    <t>Model development</t>
  </si>
  <si>
    <t>Project 2</t>
  </si>
  <si>
    <t>Create one feature and document source, logic, and availability.</t>
  </si>
  <si>
    <t>Data leakage</t>
  </si>
  <si>
    <t>Prevent future/target information from sneaking into training.</t>
  </si>
  <si>
    <t>Could this value only be known after the outcome?</t>
  </si>
  <si>
    <t>Modeling</t>
  </si>
  <si>
    <t>List three potential leakage channels in your dataset.</t>
  </si>
  <si>
    <t>Train / validation / test splits</t>
  </si>
  <si>
    <t>Separate learning, tuning, and final evaluation.</t>
  </si>
  <si>
    <t>Does this split match how the model would face new data?</t>
  </si>
  <si>
    <t>Before modeling</t>
  </si>
  <si>
    <t>Explain why random vs time-based split changes validity.</t>
  </si>
  <si>
    <t>Estimate how stable performance is across different samples.</t>
  </si>
  <si>
    <t>Is one split making the model look lucky or unlucky?</t>
  </si>
  <si>
    <t>Model selection</t>
  </si>
  <si>
    <t>Compare fold mean and spread, not only the average.</t>
  </si>
  <si>
    <t>Baseline models</t>
  </si>
  <si>
    <t>Create a simple benchmark that advanced models must beat.</t>
  </si>
  <si>
    <t>What would a naive prediction achieve?</t>
  </si>
  <si>
    <t>Start of modeling</t>
  </si>
  <si>
    <t>Use majority class, mean, median, or simple linear/logistic model.</t>
  </si>
  <si>
    <t>Classification metrics</t>
  </si>
  <si>
    <t>Evaluate different error tradeoffs.</t>
  </si>
  <si>
    <t>Do I care more about false positives or false negatives?</t>
  </si>
  <si>
    <t>Classification</t>
  </si>
  <si>
    <t>Explain precision vs recall using the project context.</t>
  </si>
  <si>
    <t>Regression metrics</t>
  </si>
  <si>
    <t>Measure prediction error in ways aligned with the problem.</t>
  </si>
  <si>
    <t>Do large misses deserve extra punishment?</t>
  </si>
  <si>
    <t>Regression</t>
  </si>
  <si>
    <t>Compare MAE and RMSE on the same predictions.</t>
  </si>
  <si>
    <t>Class imbalance</t>
  </si>
  <si>
    <t>Rare classes can make accuracy misleading.</t>
  </si>
  <si>
    <t>What would accuracy be if I predicted only the majority class?</t>
  </si>
  <si>
    <t>Compare accuracy with precision/recall/PR-AUC.</t>
  </si>
  <si>
    <t>Calibration</t>
  </si>
  <si>
    <t>Check whether predicted probabilities correspond to observed frequencies.</t>
  </si>
  <si>
    <t>When the model says 80%, is it right about 80% of the time?</t>
  </si>
  <si>
    <t>Probabilistic classification</t>
  </si>
  <si>
    <t>Inspect a calibration curve conceptually or practically.</t>
  </si>
  <si>
    <t>Overfitting / underfitting</t>
  </si>
  <si>
    <t>Balance memorizing training data against learning too little.</t>
  </si>
  <si>
    <t>How different are train and validation results?</t>
  </si>
  <si>
    <t>Compare train vs validation performance.</t>
  </si>
  <si>
    <t>Bias–variance tradeoff</t>
  </si>
  <si>
    <t>Understand whether errors come from overly simple or unstable models.</t>
  </si>
  <si>
    <t>Would more complexity help or just increase instability?</t>
  </si>
  <si>
    <t>Use learning curves or repeated CV to reason about it.</t>
  </si>
  <si>
    <t>Model diagnostics</t>
  </si>
  <si>
    <t>Inspect error patterns instead of trusting one metric.</t>
  </si>
  <si>
    <t>Where does the model fail and for whom?</t>
  </si>
  <si>
    <t>After evaluation</t>
  </si>
  <si>
    <t>Review largest errors or most confident mistakes.</t>
  </si>
  <si>
    <t>Understand why a model behaves the way it does.</t>
  </si>
  <si>
    <t>Does the driver make domain sense or act as a proxy?</t>
  </si>
  <si>
    <t>Model review</t>
  </si>
  <si>
    <t>Compare coefficient/importance with domain expectations.</t>
  </si>
  <si>
    <t>Communicate how confident an estimate or prediction is.</t>
  </si>
  <si>
    <t>When should a user distrust or escalate this result?</t>
  </si>
  <si>
    <t>Reporting and deployment thinking</t>
  </si>
  <si>
    <t>Projects 1–3</t>
  </si>
  <si>
    <t>Add an uncertainty statement to one finding.</t>
  </si>
  <si>
    <t>Make results repeatable from source data and code.</t>
  </si>
  <si>
    <t>Could I recreate this result next month?</t>
  </si>
  <si>
    <t>Restart and rerun from a clean environment.</t>
  </si>
  <si>
    <t>Communicating limitations</t>
  </si>
  <si>
    <t>State what the analysis/model does not establish.</t>
  </si>
  <si>
    <t>What would I warn someone not to conclude?</t>
  </si>
  <si>
    <t>Final reporting</t>
  </si>
  <si>
    <t>Write three limitations in stakeholder language.</t>
  </si>
  <si>
    <t>Dataset Selection Guide</t>
  </si>
  <si>
    <t>Criterion</t>
  </si>
  <si>
    <t>Project 1 — Analytics/Dashboard</t>
  </si>
  <si>
    <t>Project 2 — ML</t>
  </si>
  <si>
    <t>Project 3 — SQL/Integrated</t>
  </si>
  <si>
    <t>Why</t>
  </si>
  <si>
    <t>Rows</t>
  </si>
  <si>
    <t>~10k–100k</t>
  </si>
  <si>
    <t>Prefer ~20k+ if possible; enough positive/negative or outcome examples</t>
  </si>
  <si>
    <t>~25k+ or multiple files/batches; size should justify persistence</t>
  </si>
  <si>
    <t>Large enough to expose real workflow issues, small enough to iterate quickly.</t>
  </si>
  <si>
    <t>Columns</t>
  </si>
  <si>
    <t>~10–30</t>
  </si>
  <si>
    <t>~10–50 useful raw features</t>
  </si>
  <si>
    <t>Multiple related fields/files or wide denormalized source</t>
  </si>
  <si>
    <t>Enough complexity without spending the project decoding hundreds of columns.</t>
  </si>
  <si>
    <t>Messiness</t>
  </si>
  <si>
    <t>Medium</t>
  </si>
  <si>
    <t>Medium; imperfect but recoverable</t>
  </si>
  <si>
    <t>Medium/high; schema and updates should matter</t>
  </si>
  <si>
    <t>You want real decisions, not a perfectly curated tutorial file.</t>
  </si>
  <si>
    <t>Data types</t>
  </si>
  <si>
    <t>Numeric + categorical + dates + IDs</t>
  </si>
  <si>
    <t>Mixed predictors + clear target</t>
  </si>
  <si>
    <t>IDs + dates/timestamps + categories + measures</t>
  </si>
  <si>
    <t>Mixed types force realistic profiling and preprocessing.</t>
  </si>
  <si>
    <t>Missing values</t>
  </si>
  <si>
    <t>Some, with patterns worth investigating</t>
  </si>
  <si>
    <t>Some; avoid datasets where everything is already imputed</t>
  </si>
  <si>
    <t>Some plus rules for accepted/rejected rows</t>
  </si>
  <si>
    <t>Missingness creates analytical and engineering decisions.</t>
  </si>
  <si>
    <t>Categorical quality</t>
  </si>
  <si>
    <t>Some inconsistent labels are useful</t>
  </si>
  <si>
    <t>Categories that require encoding or consolidation</t>
  </si>
  <si>
    <t>Repeated categories/entities that can become dimensions/tables</t>
  </si>
  <si>
    <t>Good practice for standardization and modeling.</t>
  </si>
  <si>
    <t>Dates / time</t>
  </si>
  <si>
    <t>Prefer at least one date/time field</t>
  </si>
  <si>
    <t>Strongly preferred if prediction horizon matters</t>
  </si>
  <si>
    <t>Strongly preferred for incremental loads</t>
  </si>
  <si>
    <t>Time enables realistic splits, trends, and update logic.</t>
  </si>
  <si>
    <t>Identifiers</t>
  </si>
  <si>
    <t>At least one ID-like field</t>
  </si>
  <si>
    <t>Useful for grouping and leakage checks</t>
  </si>
  <si>
    <t>Important; multiple keys/relationships preferred</t>
  </si>
  <si>
    <t>Identifiers force grain/key reasoning.</t>
  </si>
  <si>
    <t>Denormalization</t>
  </si>
  <si>
    <t>Nice to have</t>
  </si>
  <si>
    <t>Optional</t>
  </si>
  <si>
    <t>Strongly preferred</t>
  </si>
  <si>
    <t>Project 3 should create a reason to model data relationally.</t>
  </si>
  <si>
    <t>Business questions</t>
  </si>
  <si>
    <t>At least 3 plausible questions</t>
  </si>
  <si>
    <t>One clear predictive target plus exploratory questions</t>
  </si>
  <si>
    <t>Several SQL/analytical outputs</t>
  </si>
  <si>
    <t>The dataset should support iteration rather than one obvious chart.</t>
  </si>
  <si>
    <t>Target variable</t>
  </si>
  <si>
    <t>Not required</t>
  </si>
  <si>
    <t>Required or reasonably derivable</t>
  </si>
  <si>
    <t>ML needs a well-defined outcome.</t>
  </si>
  <si>
    <t>Avoid</t>
  </si>
  <si>
    <t>Tiny &lt;1k toy data; perfectly clean tutorial sets</t>
  </si>
  <si>
    <t>Pre-engineered leaderboard datasets; obvious leakage; microscopic classes</t>
  </si>
  <si>
    <t>One tiny flat file with no persistence/update need</t>
  </si>
  <si>
    <t>Avoid datasets that remove the very skills you want to practice.</t>
  </si>
  <si>
    <t>Safety</t>
  </si>
  <si>
    <t>Public/synthetic/non-sensitive</t>
  </si>
  <si>
    <t>Do not use classified, controlled, employer, or personal data in personal practice.</t>
  </si>
  <si>
    <t>How the New Refresher Works</t>
  </si>
  <si>
    <t>Principle</t>
  </si>
  <si>
    <t>Why the old plan changed</t>
  </si>
  <si>
    <t>The first five completed days served their purpose: rebuilding learning discipline after vacation. The project phase now replaces isolated DS/DE daily exercises.</t>
  </si>
  <si>
    <t>Core model</t>
  </si>
  <si>
    <t>Projects drive the learning. Data engineering and data science are combined in the same workflow rather than treated as two unrelated tracks.</t>
  </si>
  <si>
    <t>Plan for at least 60 focused minutes. There is no upper limit; continue when you are in flow.</t>
  </si>
  <si>
    <t>Daily checklist</t>
  </si>
  <si>
    <t>Use Project Checklist to see the next concrete actions. Mark each item Not started, In progress, Done, Blocked, or Skipped.</t>
  </si>
  <si>
    <t>Daily journal</t>
  </si>
  <si>
    <t>Use Daily Journal once per day to record DS/DE concepts practiced, what you learned, uncertainty, decisions, next step, time, and artifact location.</t>
  </si>
  <si>
    <t>Data science emphasis</t>
  </si>
  <si>
    <t>When the project reaches a concept you are weak on, use DS Concepts as a research menu. Learn the concept because the project creates a reason for it.</t>
  </si>
  <si>
    <t>Realism questions</t>
  </si>
  <si>
    <t>Treat the realism prompt as a short quiz. Answer it before looking for help whenever possible.</t>
  </si>
  <si>
    <t>Analytics/dashboard workflow: source understanding → profiling → cleaning → statistics → visualization → dashboard → robustness → communication.</t>
  </si>
  <si>
    <t>ML workflow: target → split → baseline → preprocessing → features → modeling → evaluation → diagnostics → interpretation → uncertainty.</t>
  </si>
  <si>
    <t>Project 3</t>
  </si>
  <si>
    <t>Integrated workflow: Docker/PostgreSQL → staging → relational model → constraints → SQL → analytical layer → updates → data quality → end-to-end rerun.</t>
  </si>
  <si>
    <t>SQL timing</t>
  </si>
  <si>
    <t>Do not move to PostgreSQL because 'data engineers use databases.' Move when persistence, relationships, repeated loads, constraints, or SQL querying justify it.</t>
  </si>
  <si>
    <t>Dataset ownership</t>
  </si>
  <si>
    <t>You choose the datasets. Use Dataset Guide to select something with enough messiness and complexity to create real decisions.</t>
  </si>
  <si>
    <t>1) technical fluency, 2) stronger data-science reasoning, 3) analytics polish. Portfolio value is secondary.</t>
  </si>
  <si>
    <t>Existing sheets</t>
  </si>
  <si>
    <t>The original Daily plan, Progress, and Guide remain in the workbook as the warm-up/history from the first phase.</t>
  </si>
  <si>
    <t>data_explore.ipynb</t>
  </si>
  <si>
    <t>Thinking about ingestion and overall how the data is going to move</t>
  </si>
  <si>
    <t>Skipped</t>
  </si>
  <si>
    <t xml:space="preserve">First step, find an interesting dataset, that dataset being a test taking dataset (Data exploration) </t>
  </si>
  <si>
    <t>Import data set as raw_spf_df using pandas data_profiling tool</t>
  </si>
  <si>
    <t>Look at anomlies within the dataset</t>
  </si>
  <si>
    <t>Use python fuction to make this process easier</t>
  </si>
  <si>
    <t>Ordinal and nominal categories.</t>
  </si>
  <si>
    <t>Grain became much clearer when I related it to organizational levels such as wing, squadron, flight, and individual records. I also reinforced that cleaning should be based on the analytical purpose rather than making changes simply because a cleaning technique exists. I removed 293 records whose missing information prevented them from contributing meaningfully to the planned analysis and otherwise preserved the dataset because it was already relatively clean.</t>
  </si>
  <si>
    <t>Numerator   = total students
Denominator = number of classrooms
Metric      = average students per classroom</t>
  </si>
  <si>
    <t>Working with establishing the numerator, denominator, and metric as well as the exclusion</t>
  </si>
  <si>
    <t>In progress</t>
  </si>
  <si>
    <t>Begin understanding the relationships between exam and both our numeric and categorical values.</t>
  </si>
  <si>
    <t>Planning to create a report and try to create a product that is focused in creating a productive outcome</t>
  </si>
  <si>
    <t>Continue to work throught the visuals as we create the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</si>
</sst>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,\ mmm\ d"/>
    <numFmt numFmtId="165" formatCode="yyyy\-mm\-dd"/>
    <numFmt numFmtId="166" formatCode="0.0"/>
  </numFmts>
  <fonts count="13">
    <font>
      <sz val="11"/>
      <name val="Carlito"/>
    </font>
    <font>
      <sz val="11"/>
      <color rgb="FF23354D"/>
      <name val="Arial"/>
    </font>
    <font>
      <b/>
      <sz val="16"/>
      <color rgb="FF23354D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sz val="14"/>
      <color rgb="FF23354D"/>
      <name val="Arial"/>
    </font>
    <font>
      <b/>
      <sz val="14"/>
      <color rgb="FF24456A"/>
      <name val="Arial"/>
    </font>
    <font>
      <b/>
      <sz val="14"/>
      <color rgb="FF5B4D82"/>
      <name val="Arial"/>
    </font>
    <font>
      <sz val="11"/>
      <color rgb="FF23354D"/>
      <name val="Arial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7324D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24456A"/>
      </patternFill>
    </fill>
    <fill>
      <patternFill patternType="solid">
        <fgColor rgb="FFFFFFFF"/>
      </patternFill>
    </fill>
    <fill>
      <patternFill patternType="solid">
        <fgColor rgb="FFF1F5FA"/>
      </patternFill>
    </fill>
    <fill>
      <patternFill patternType="solid">
        <fgColor rgb="FFE4EEF9"/>
      </patternFill>
    </fill>
    <fill>
      <patternFill patternType="solid">
        <fgColor rgb="FFFFF3D5"/>
      </patternFill>
    </fill>
    <fill>
      <patternFill patternType="solid">
        <fgColor rgb="FF17324D"/>
      </patternFill>
    </fill>
    <fill>
      <patternFill patternType="solid">
        <fgColor rgb="FF2F6B6D"/>
      </patternFill>
    </fill>
    <fill>
      <patternFill patternType="solid">
        <fgColor rgb="FFEAF1F5"/>
      </patternFill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left/>
      <right/>
      <top/>
      <bottom style="thin">
        <color rgb="FF24456A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B8C4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1" fillId="6" borderId="0" xfId="0" applyFont="1" applyFill="1" applyAlignment="1">
      <alignment vertical="center"/>
    </xf>
    <xf numFmtId="1" fontId="1" fillId="6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 wrapText="1"/>
    </xf>
    <xf numFmtId="0" fontId="7" fillId="3" borderId="0" xfId="0" applyFont="1" applyFill="1" applyAlignment="1">
      <alignment horizontal="center" vertical="top"/>
    </xf>
    <xf numFmtId="164" fontId="5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5" fillId="4" borderId="0" xfId="0" applyFont="1" applyFill="1" applyAlignment="1">
      <alignment vertical="top" wrapText="1"/>
    </xf>
    <xf numFmtId="0" fontId="7" fillId="4" borderId="0" xfId="0" applyFont="1" applyFill="1" applyAlignment="1">
      <alignment horizontal="center" vertical="top"/>
    </xf>
    <xf numFmtId="164" fontId="5" fillId="5" borderId="0" xfId="0" applyNumberFormat="1" applyFont="1" applyFill="1" applyAlignment="1">
      <alignment horizontal="center" vertical="top"/>
    </xf>
    <xf numFmtId="0" fontId="6" fillId="5" borderId="0" xfId="0" applyFont="1" applyFill="1" applyAlignment="1">
      <alignment horizontal="center" vertical="top"/>
    </xf>
    <xf numFmtId="0" fontId="5" fillId="5" borderId="0" xfId="0" applyFont="1" applyFill="1" applyAlignment="1">
      <alignment vertical="top" wrapText="1"/>
    </xf>
    <xf numFmtId="0" fontId="7" fillId="5" borderId="0" xfId="0" applyFont="1" applyFill="1" applyAlignment="1">
      <alignment horizontal="center" vertical="top"/>
    </xf>
    <xf numFmtId="0" fontId="8" fillId="6" borderId="0" xfId="0" applyFont="1" applyFill="1" applyAlignment="1">
      <alignment vertical="center" wrapText="1"/>
    </xf>
    <xf numFmtId="0" fontId="10" fillId="8" borderId="5" xfId="0" applyFont="1" applyFill="1" applyBorder="1" applyAlignment="1">
      <alignment vertical="center" wrapText="1"/>
    </xf>
    <xf numFmtId="165" fontId="0" fillId="0" borderId="0" xfId="0" applyNumberFormat="1" applyAlignment="1">
      <alignment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1" fillId="9" borderId="0" xfId="0" applyFont="1" applyFill="1" applyAlignment="1">
      <alignment wrapText="1"/>
    </xf>
    <xf numFmtId="166" fontId="0" fillId="0" borderId="0" xfId="0" applyNumberFormat="1" applyAlignment="1">
      <alignment wrapText="1"/>
    </xf>
    <xf numFmtId="0" fontId="9" fillId="7" borderId="0" xfId="0" applyFont="1" applyFill="1" applyAlignment="1">
      <alignment vertical="top"/>
    </xf>
    <xf numFmtId="0" fontId="0" fillId="0" borderId="0" xfId="0" applyAlignment="1">
      <alignment vertical="top"/>
    </xf>
    <xf numFmtId="0" fontId="9" fillId="7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2" fillId="10" borderId="0" xfId="0" applyFont="1" applyFill="1" applyAlignment="1">
      <alignment wrapText="1"/>
    </xf>
    <xf numFmtId="0" fontId="9" fillId="7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14"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45B37"/>
      </font>
      <fill>
        <patternFill>
          <bgColor rgb="FFE5F0E8"/>
        </patternFill>
      </fill>
    </dxf>
    <dxf>
      <font>
        <color rgb="FF245B37"/>
      </font>
      <fill>
        <patternFill>
          <bgColor rgb="FFE5F0E8"/>
        </patternFill>
      </fill>
    </dxf>
    <dxf>
      <font>
        <color rgb="FF245B37"/>
      </font>
      <fill>
        <patternFill>
          <bgColor rgb="FFE5F0E8"/>
        </patternFill>
      </fill>
    </dxf>
    <dxf>
      <font>
        <u val="none"/>
        <sz val="14"/>
        <name val="Arial"/>
        <scheme val="none"/>
      </font>
    </dxf>
    <dxf>
      <font>
        <u val="none"/>
        <sz val="14"/>
        <name val="Arial"/>
        <scheme val="none"/>
      </font>
    </dxf>
    <dxf>
      <font>
        <u val="none"/>
        <sz val="14"/>
        <name val="Arial"/>
        <scheme val="none"/>
      </font>
    </dxf>
    <dxf>
      <font>
        <u val="none"/>
        <sz val="14"/>
        <name val="Arial"/>
        <scheme val="none"/>
      </font>
    </dxf>
    <dxf>
      <font>
        <u val="none"/>
        <sz val="14"/>
        <name val="Arial"/>
        <scheme val="none"/>
      </font>
    </dxf>
    <dxf>
      <font>
        <u val="none"/>
        <sz val="14"/>
        <name val="Arial"/>
        <scheme val="none"/>
      </font>
    </dxf>
    <dxf>
      <font>
        <u val="none"/>
        <sz val="14"/>
        <name val="Arial"/>
        <scheme val="none"/>
      </font>
    </dxf>
    <dxf>
      <font>
        <u val="none"/>
        <sz val="14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Project completion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B5E-4145-A396-4F1C3D85EA41}"/>
            </c:ext>
          </c:extLst>
        </c:ser>
        <c:ser>
          <c:idx val="1"/>
          <c:order val="1"/>
          <c:tx>
            <c:v>Progress</c:v>
          </c:tx>
          <c:invertIfNegative val="1"/>
          <c:cat>
            <c:strRef>
              <c:f>Overview!$A$11:$A$13</c:f>
              <c:strCache>
                <c:ptCount val="3"/>
                <c:pt idx="0">
                  <c:v>Project 1 — Analytics &amp; Dashboard</c:v>
                </c:pt>
                <c:pt idx="1">
                  <c:v>Project 2 — Data Science / ML</c:v>
                </c:pt>
                <c:pt idx="2">
                  <c:v>Project 3 — SQL + Integrated Workflow</c:v>
                </c:pt>
              </c:strCache>
            </c:strRef>
          </c:cat>
          <c:val>
            <c:numRef>
              <c:f>Overview!$F$11:$F$13</c:f>
              <c:numCache>
                <c:formatCode>0%</c:formatCode>
                <c:ptCount val="3"/>
                <c:pt idx="0">
                  <c:v>0.75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E-4145-A396-4F1C3D85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ctoberPlan" displayName="OctoberPlan" ref="A6:G68" totalsRowShown="0" dataDxfId="13">
  <autoFilter ref="A6:G68" xr:uid="{00000000-0009-0000-0100-000001000000}"/>
  <tableColumns count="7">
    <tableColumn id="1" xr3:uid="{00000000-0010-0000-0000-000001000000}" name="Date" dataDxfId="12"/>
    <tableColumn id="2" xr3:uid="{00000000-0010-0000-0000-000002000000}" name="Track" dataDxfId="11"/>
    <tableColumn id="3" xr3:uid="{00000000-0010-0000-0000-000003000000}" name="Focus" dataDxfId="10"/>
    <tableColumn id="4" xr3:uid="{00000000-0010-0000-0000-000004000000}" name="P1: minimum task" dataDxfId="9"/>
    <tableColumn id="5" xr3:uid="{00000000-0010-0000-0000-000005000000}" name="P2: optional extension" dataDxfId="8"/>
    <tableColumn id="6" xr3:uid="{00000000-0010-0000-0000-000006000000}" name="Concept-only alternative / search topic" dataDxfId="7"/>
    <tableColumn id="7" xr3:uid="{00000000-0010-0000-0000-000007000000}" name="Hands-on checkpoin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ctoberProgress" displayName="OctoberProgress" ref="A7:J38" totalsRowShown="0">
  <autoFilter ref="A7:J38" xr:uid="{00000000-0009-0000-0100-000002000000}"/>
  <tableColumns count="10">
    <tableColumn id="1" xr3:uid="{00000000-0010-0000-0100-000001000000}" name="Date"/>
    <tableColumn id="2" xr3:uid="{00000000-0010-0000-0100-000002000000}" name="DS status"/>
    <tableColumn id="3" xr3:uid="{00000000-0010-0000-0100-000003000000}" name="DS minutes"/>
    <tableColumn id="4" xr3:uid="{00000000-0010-0000-0100-000004000000}" name="DE status"/>
    <tableColumn id="5" xr3:uid="{00000000-0010-0000-0100-000005000000}" name="DE minutes"/>
    <tableColumn id="6" xr3:uid="{00000000-0010-0000-0100-000006000000}" name="Total minutes"/>
    <tableColumn id="7" xr3:uid="{00000000-0010-0000-0100-000007000000}" name="Daily minimum"/>
    <tableColumn id="8" xr3:uid="{00000000-0010-0000-0100-000008000000}" name="Output / learning / mode"/>
    <tableColumn id="9" xr3:uid="{00000000-0010-0000-0100-000009000000}" name="Uncertainty"/>
    <tableColumn id="10" xr3:uid="{00000000-0010-0000-0100-00000A000000}" name="Next small ste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jectChecklistTable" displayName="ProjectChecklistTable" ref="A2:M146" totalsRowShown="0">
  <tableColumns count="13">
    <tableColumn id="1" xr3:uid="{00000000-0010-0000-0200-000001000000}" name="Date"/>
    <tableColumn id="2" xr3:uid="{00000000-0010-0000-0200-000002000000}" name="Day"/>
    <tableColumn id="3" xr3:uid="{00000000-0010-0000-0200-000003000000}" name="Project"/>
    <tableColumn id="4" xr3:uid="{00000000-0010-0000-0200-000004000000}" name="Project Phase"/>
    <tableColumn id="5" xr3:uid="{00000000-0010-0000-0200-000005000000}" name="Daily Focus"/>
    <tableColumn id="6" xr3:uid="{00000000-0010-0000-0200-000006000000}" name="Checklist Item"/>
    <tableColumn id="7" xr3:uid="{00000000-0010-0000-0200-000007000000}" name="Category"/>
    <tableColumn id="8" xr3:uid="{00000000-0010-0000-0200-000008000000}" name="Status"/>
    <tableColumn id="9" xr3:uid="{00000000-0010-0000-0200-000009000000}" name="DS Concept(s)"/>
    <tableColumn id="10" xr3:uid="{00000000-0010-0000-0200-00000A000000}" name="DE Concept(s)"/>
    <tableColumn id="11" xr3:uid="{00000000-0010-0000-0200-00000B000000}" name="Realism Question"/>
    <tableColumn id="12" xr3:uid="{00000000-0010-0000-0200-00000C000000}" name="Expected Output"/>
    <tableColumn id="13" xr3:uid="{00000000-0010-0000-0200-00000D000000}" name="Stretch / If In Flo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ilyJournalTable" displayName="DailyJournalTable" ref="A2:M38" totalsRowShown="0">
  <tableColumns count="13">
    <tableColumn id="1" xr3:uid="{00000000-0010-0000-0300-000001000000}" name="Date"/>
    <tableColumn id="2" xr3:uid="{00000000-0010-0000-0300-000002000000}" name="Project"/>
    <tableColumn id="3" xr3:uid="{00000000-0010-0000-0300-000003000000}" name="Project Phase"/>
    <tableColumn id="4" xr3:uid="{00000000-0010-0000-0300-000004000000}" name="Daily Focus"/>
    <tableColumn id="5" xr3:uid="{00000000-0010-0000-0300-000005000000}" name="Checklist Completion"/>
    <tableColumn id="6" xr3:uid="{00000000-0010-0000-0300-000006000000}" name="DS Concepts Practiced"/>
    <tableColumn id="7" xr3:uid="{00000000-0010-0000-0300-000007000000}" name="DE Concepts Practiced"/>
    <tableColumn id="8" xr3:uid="{00000000-0010-0000-0300-000008000000}" name="What I Learned"/>
    <tableColumn id="9" xr3:uid="{00000000-0010-0000-0300-000009000000}" name="Problem / Uncertainty"/>
    <tableColumn id="10" xr3:uid="{00000000-0010-0000-0300-00000A000000}" name="Decision Made"/>
    <tableColumn id="11" xr3:uid="{00000000-0010-0000-0300-00000B000000}" name="Next Step"/>
    <tableColumn id="12" xr3:uid="{00000000-0010-0000-0300-00000C000000}" name="Time Spent (Minutes)"/>
    <tableColumn id="13" xr3:uid="{00000000-0010-0000-0300-00000D000000}" name="Artifact / Noteboo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SConceptsTable" displayName="DSConceptsTable" ref="A2:F31" totalsRowShown="0">
  <tableColumns count="6">
    <tableColumn id="1" xr3:uid="{00000000-0010-0000-0400-000001000000}" name="Concept"/>
    <tableColumn id="2" xr3:uid="{00000000-0010-0000-0400-000002000000}" name="Plain-English Meaning"/>
    <tableColumn id="3" xr3:uid="{00000000-0010-0000-0400-000003000000}" name="Questions to Ask Yourself"/>
    <tableColumn id="4" xr3:uid="{00000000-0010-0000-0400-000004000000}" name="When It Matters"/>
    <tableColumn id="5" xr3:uid="{00000000-0010-0000-0400-000005000000}" name="Project Tie-In"/>
    <tableColumn id="6" xr3:uid="{00000000-0010-0000-0400-000006000000}" name="Quick Practi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setGuideTable" displayName="DatasetGuideTable" ref="A2:E15" totalsRowShown="0">
  <tableColumns count="5">
    <tableColumn id="1" xr3:uid="{00000000-0010-0000-0500-000001000000}" name="Criterion"/>
    <tableColumn id="2" xr3:uid="{00000000-0010-0000-0500-000002000000}" name="Project 1 — Analytics/Dashboard"/>
    <tableColumn id="3" xr3:uid="{00000000-0010-0000-0500-000003000000}" name="Project 2 — ML"/>
    <tableColumn id="4" xr3:uid="{00000000-0010-0000-0500-000004000000}" name="Project 3 — SQL/Integrated"/>
    <tableColumn id="5" xr3:uid="{00000000-0010-0000-0500-000005000000}" name="Wh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56A"/>
  </sheetPr>
  <dimension ref="A1:G68"/>
  <sheetViews>
    <sheetView showGridLines="0" topLeftCell="A29" workbookViewId="0"/>
  </sheetViews>
  <sheetFormatPr defaultRowHeight="13.8"/>
  <cols>
    <col min="1" max="1" width="15.69921875" customWidth="1"/>
    <col min="2" max="2" width="9.3984375" customWidth="1"/>
    <col min="3" max="3" width="25.59765625" customWidth="1"/>
    <col min="4" max="4" width="40.59765625" customWidth="1"/>
    <col min="5" max="5" width="36.19921875" customWidth="1"/>
    <col min="6" max="6" width="45.59765625" customWidth="1"/>
    <col min="7" max="7" width="31.898437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28.05" customHeight="1">
      <c r="A2" s="2" t="s">
        <v>0</v>
      </c>
      <c r="B2" s="1"/>
      <c r="C2" s="1"/>
      <c r="D2" s="1"/>
      <c r="E2" s="1"/>
      <c r="F2" s="1"/>
      <c r="G2" s="1"/>
    </row>
    <row r="3" spans="1:7">
      <c r="A3" s="3"/>
      <c r="B3" s="3"/>
      <c r="C3" s="3"/>
      <c r="D3" s="3"/>
      <c r="E3" s="3"/>
      <c r="F3" s="3"/>
      <c r="G3" s="3"/>
    </row>
    <row r="4" spans="1:7" ht="22.95" customHeight="1">
      <c r="A4" s="1" t="s">
        <v>1</v>
      </c>
      <c r="B4" s="1"/>
      <c r="C4" s="1"/>
      <c r="D4" s="1"/>
      <c r="E4" s="1"/>
      <c r="F4" s="1"/>
      <c r="G4" s="1"/>
    </row>
    <row r="5" spans="1:7" ht="22.95" customHeight="1">
      <c r="A5" s="1" t="s">
        <v>2</v>
      </c>
      <c r="B5" s="1"/>
      <c r="C5" s="1"/>
      <c r="D5" s="1"/>
      <c r="E5" s="1"/>
      <c r="F5" s="1"/>
      <c r="G5" s="1"/>
    </row>
    <row r="6" spans="1:7" ht="31.95" customHeight="1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6" t="s">
        <v>9</v>
      </c>
    </row>
    <row r="7" spans="1:7" ht="79.95" customHeight="1">
      <c r="A7" s="17">
        <v>46296</v>
      </c>
      <c r="B7" s="18" t="s">
        <v>10</v>
      </c>
      <c r="C7" s="19" t="s">
        <v>11</v>
      </c>
      <c r="D7" s="19" t="s">
        <v>12</v>
      </c>
      <c r="E7" s="19" t="s">
        <v>13</v>
      </c>
      <c r="F7" s="19" t="s">
        <v>14</v>
      </c>
      <c r="G7" s="19" t="s">
        <v>15</v>
      </c>
    </row>
    <row r="8" spans="1:7" ht="79.95" customHeight="1">
      <c r="A8" s="17">
        <v>46296</v>
      </c>
      <c r="B8" s="20" t="s">
        <v>16</v>
      </c>
      <c r="C8" s="19" t="s">
        <v>11</v>
      </c>
      <c r="D8" s="19" t="s">
        <v>17</v>
      </c>
      <c r="E8" s="19" t="s">
        <v>18</v>
      </c>
      <c r="F8" s="19" t="s">
        <v>19</v>
      </c>
      <c r="G8" s="19" t="s">
        <v>20</v>
      </c>
    </row>
    <row r="9" spans="1:7" ht="79.95" customHeight="1">
      <c r="A9" s="21">
        <v>46297</v>
      </c>
      <c r="B9" s="22" t="s">
        <v>10</v>
      </c>
      <c r="C9" s="23" t="s">
        <v>21</v>
      </c>
      <c r="D9" s="23" t="s">
        <v>22</v>
      </c>
      <c r="E9" s="23" t="s">
        <v>23</v>
      </c>
      <c r="F9" s="23" t="s">
        <v>24</v>
      </c>
      <c r="G9" s="23" t="s">
        <v>25</v>
      </c>
    </row>
    <row r="10" spans="1:7" ht="79.95" customHeight="1">
      <c r="A10" s="21">
        <v>46297</v>
      </c>
      <c r="B10" s="24" t="s">
        <v>16</v>
      </c>
      <c r="C10" s="23" t="s">
        <v>21</v>
      </c>
      <c r="D10" s="23" t="s">
        <v>26</v>
      </c>
      <c r="E10" s="23" t="s">
        <v>27</v>
      </c>
      <c r="F10" s="23" t="s">
        <v>28</v>
      </c>
      <c r="G10" s="23" t="s">
        <v>29</v>
      </c>
    </row>
    <row r="11" spans="1:7" ht="79.95" customHeight="1">
      <c r="A11" s="17">
        <v>46298</v>
      </c>
      <c r="B11" s="18" t="s">
        <v>10</v>
      </c>
      <c r="C11" s="19" t="s">
        <v>30</v>
      </c>
      <c r="D11" s="19" t="s">
        <v>31</v>
      </c>
      <c r="E11" s="19" t="s">
        <v>32</v>
      </c>
      <c r="F11" s="19" t="s">
        <v>33</v>
      </c>
      <c r="G11" s="19" t="s">
        <v>34</v>
      </c>
    </row>
    <row r="12" spans="1:7" ht="79.95" customHeight="1">
      <c r="A12" s="17">
        <v>46298</v>
      </c>
      <c r="B12" s="20" t="s">
        <v>16</v>
      </c>
      <c r="C12" s="19" t="s">
        <v>30</v>
      </c>
      <c r="D12" s="19" t="s">
        <v>35</v>
      </c>
      <c r="E12" s="19" t="s">
        <v>36</v>
      </c>
      <c r="F12" s="19" t="s">
        <v>37</v>
      </c>
      <c r="G12" s="19" t="s">
        <v>38</v>
      </c>
    </row>
    <row r="13" spans="1:7" ht="79.95" customHeight="1">
      <c r="A13" s="21">
        <v>46299</v>
      </c>
      <c r="B13" s="22" t="s">
        <v>10</v>
      </c>
      <c r="C13" s="23" t="s">
        <v>39</v>
      </c>
      <c r="D13" s="23" t="s">
        <v>40</v>
      </c>
      <c r="E13" s="23" t="s">
        <v>41</v>
      </c>
      <c r="F13" s="23" t="s">
        <v>42</v>
      </c>
      <c r="G13" s="23" t="s">
        <v>43</v>
      </c>
    </row>
    <row r="14" spans="1:7" ht="79.95" customHeight="1">
      <c r="A14" s="21">
        <v>46299</v>
      </c>
      <c r="B14" s="24" t="s">
        <v>16</v>
      </c>
      <c r="C14" s="23" t="s">
        <v>39</v>
      </c>
      <c r="D14" s="23" t="s">
        <v>44</v>
      </c>
      <c r="E14" s="23" t="s">
        <v>45</v>
      </c>
      <c r="F14" s="23" t="s">
        <v>46</v>
      </c>
      <c r="G14" s="23" t="s">
        <v>47</v>
      </c>
    </row>
    <row r="15" spans="1:7" ht="79.95" customHeight="1">
      <c r="A15" s="17">
        <v>46300</v>
      </c>
      <c r="B15" s="18" t="s">
        <v>10</v>
      </c>
      <c r="C15" s="19" t="s">
        <v>48</v>
      </c>
      <c r="D15" s="19" t="s">
        <v>49</v>
      </c>
      <c r="E15" s="19" t="s">
        <v>50</v>
      </c>
      <c r="F15" s="19" t="s">
        <v>51</v>
      </c>
      <c r="G15" s="19" t="s">
        <v>52</v>
      </c>
    </row>
    <row r="16" spans="1:7" ht="79.95" customHeight="1">
      <c r="A16" s="17">
        <v>46300</v>
      </c>
      <c r="B16" s="20" t="s">
        <v>16</v>
      </c>
      <c r="C16" s="19" t="s">
        <v>48</v>
      </c>
      <c r="D16" s="19" t="s">
        <v>53</v>
      </c>
      <c r="E16" s="19" t="s">
        <v>54</v>
      </c>
      <c r="F16" s="19" t="s">
        <v>55</v>
      </c>
      <c r="G16" s="19" t="s">
        <v>56</v>
      </c>
    </row>
    <row r="17" spans="1:7" ht="79.95" customHeight="1">
      <c r="A17" s="21">
        <v>46301</v>
      </c>
      <c r="B17" s="22" t="s">
        <v>10</v>
      </c>
      <c r="C17" s="23" t="s">
        <v>57</v>
      </c>
      <c r="D17" s="23" t="s">
        <v>58</v>
      </c>
      <c r="E17" s="23" t="s">
        <v>59</v>
      </c>
      <c r="F17" s="23" t="s">
        <v>60</v>
      </c>
      <c r="G17" s="23" t="s">
        <v>61</v>
      </c>
    </row>
    <row r="18" spans="1:7" ht="79.95" customHeight="1">
      <c r="A18" s="21">
        <v>46301</v>
      </c>
      <c r="B18" s="24" t="s">
        <v>16</v>
      </c>
      <c r="C18" s="23" t="s">
        <v>57</v>
      </c>
      <c r="D18" s="23" t="s">
        <v>62</v>
      </c>
      <c r="E18" s="23" t="s">
        <v>63</v>
      </c>
      <c r="F18" s="23" t="s">
        <v>64</v>
      </c>
      <c r="G18" s="23" t="s">
        <v>65</v>
      </c>
    </row>
    <row r="19" spans="1:7" ht="79.95" customHeight="1">
      <c r="A19" s="17">
        <v>46302</v>
      </c>
      <c r="B19" s="18" t="s">
        <v>10</v>
      </c>
      <c r="C19" s="19" t="s">
        <v>66</v>
      </c>
      <c r="D19" s="19" t="s">
        <v>67</v>
      </c>
      <c r="E19" s="19" t="s">
        <v>68</v>
      </c>
      <c r="F19" s="19" t="s">
        <v>69</v>
      </c>
      <c r="G19" s="19" t="s">
        <v>70</v>
      </c>
    </row>
    <row r="20" spans="1:7" ht="79.95" customHeight="1">
      <c r="A20" s="17">
        <v>46302</v>
      </c>
      <c r="B20" s="20" t="s">
        <v>16</v>
      </c>
      <c r="C20" s="19" t="s">
        <v>66</v>
      </c>
      <c r="D20" s="19" t="s">
        <v>71</v>
      </c>
      <c r="E20" s="19" t="s">
        <v>72</v>
      </c>
      <c r="F20" s="19" t="s">
        <v>73</v>
      </c>
      <c r="G20" s="19" t="s">
        <v>74</v>
      </c>
    </row>
    <row r="21" spans="1:7" ht="79.95" customHeight="1">
      <c r="A21" s="21">
        <v>46303</v>
      </c>
      <c r="B21" s="22" t="s">
        <v>10</v>
      </c>
      <c r="C21" s="23" t="s">
        <v>75</v>
      </c>
      <c r="D21" s="23" t="s">
        <v>76</v>
      </c>
      <c r="E21" s="23" t="s">
        <v>77</v>
      </c>
      <c r="F21" s="23" t="s">
        <v>78</v>
      </c>
      <c r="G21" s="23" t="s">
        <v>79</v>
      </c>
    </row>
    <row r="22" spans="1:7" ht="79.95" customHeight="1">
      <c r="A22" s="21">
        <v>46303</v>
      </c>
      <c r="B22" s="24" t="s">
        <v>16</v>
      </c>
      <c r="C22" s="23" t="s">
        <v>75</v>
      </c>
      <c r="D22" s="23" t="s">
        <v>80</v>
      </c>
      <c r="E22" s="23" t="s">
        <v>81</v>
      </c>
      <c r="F22" s="23" t="s">
        <v>82</v>
      </c>
      <c r="G22" s="23" t="s">
        <v>83</v>
      </c>
    </row>
    <row r="23" spans="1:7" ht="79.95" customHeight="1">
      <c r="A23" s="17">
        <v>46304</v>
      </c>
      <c r="B23" s="18" t="s">
        <v>10</v>
      </c>
      <c r="C23" s="19" t="s">
        <v>84</v>
      </c>
      <c r="D23" s="19" t="s">
        <v>85</v>
      </c>
      <c r="E23" s="19" t="s">
        <v>86</v>
      </c>
      <c r="F23" s="19" t="s">
        <v>87</v>
      </c>
      <c r="G23" s="19" t="s">
        <v>88</v>
      </c>
    </row>
    <row r="24" spans="1:7" ht="79.95" customHeight="1">
      <c r="A24" s="17">
        <v>46304</v>
      </c>
      <c r="B24" s="20" t="s">
        <v>16</v>
      </c>
      <c r="C24" s="19" t="s">
        <v>84</v>
      </c>
      <c r="D24" s="19" t="s">
        <v>89</v>
      </c>
      <c r="E24" s="19" t="s">
        <v>90</v>
      </c>
      <c r="F24" s="19" t="s">
        <v>91</v>
      </c>
      <c r="G24" s="19" t="s">
        <v>92</v>
      </c>
    </row>
    <row r="25" spans="1:7" ht="79.95" customHeight="1">
      <c r="A25" s="21">
        <v>46305</v>
      </c>
      <c r="B25" s="22" t="s">
        <v>10</v>
      </c>
      <c r="C25" s="23" t="s">
        <v>93</v>
      </c>
      <c r="D25" s="23" t="s">
        <v>94</v>
      </c>
      <c r="E25" s="23" t="s">
        <v>95</v>
      </c>
      <c r="F25" s="23" t="s">
        <v>96</v>
      </c>
      <c r="G25" s="23" t="s">
        <v>97</v>
      </c>
    </row>
    <row r="26" spans="1:7" ht="79.95" customHeight="1">
      <c r="A26" s="21">
        <v>46305</v>
      </c>
      <c r="B26" s="24" t="s">
        <v>16</v>
      </c>
      <c r="C26" s="23" t="s">
        <v>93</v>
      </c>
      <c r="D26" s="23" t="s">
        <v>98</v>
      </c>
      <c r="E26" s="23" t="s">
        <v>99</v>
      </c>
      <c r="F26" s="23" t="s">
        <v>100</v>
      </c>
      <c r="G26" s="23" t="s">
        <v>101</v>
      </c>
    </row>
    <row r="27" spans="1:7" ht="79.95" customHeight="1">
      <c r="A27" s="17">
        <v>46306</v>
      </c>
      <c r="B27" s="18" t="s">
        <v>10</v>
      </c>
      <c r="C27" s="19" t="s">
        <v>102</v>
      </c>
      <c r="D27" s="19" t="s">
        <v>103</v>
      </c>
      <c r="E27" s="19" t="s">
        <v>104</v>
      </c>
      <c r="F27" s="19" t="s">
        <v>105</v>
      </c>
      <c r="G27" s="19" t="s">
        <v>106</v>
      </c>
    </row>
    <row r="28" spans="1:7" ht="79.95" customHeight="1">
      <c r="A28" s="17">
        <v>46306</v>
      </c>
      <c r="B28" s="20" t="s">
        <v>16</v>
      </c>
      <c r="C28" s="19" t="s">
        <v>102</v>
      </c>
      <c r="D28" s="19" t="s">
        <v>107</v>
      </c>
      <c r="E28" s="19" t="s">
        <v>108</v>
      </c>
      <c r="F28" s="19" t="s">
        <v>109</v>
      </c>
      <c r="G28" s="19" t="s">
        <v>110</v>
      </c>
    </row>
    <row r="29" spans="1:7" ht="79.95" customHeight="1">
      <c r="A29" s="21">
        <v>46307</v>
      </c>
      <c r="B29" s="22" t="s">
        <v>10</v>
      </c>
      <c r="C29" s="23" t="s">
        <v>111</v>
      </c>
      <c r="D29" s="23" t="s">
        <v>112</v>
      </c>
      <c r="E29" s="23" t="s">
        <v>113</v>
      </c>
      <c r="F29" s="23" t="s">
        <v>114</v>
      </c>
      <c r="G29" s="23" t="s">
        <v>115</v>
      </c>
    </row>
    <row r="30" spans="1:7" ht="79.95" customHeight="1">
      <c r="A30" s="21">
        <v>46307</v>
      </c>
      <c r="B30" s="24" t="s">
        <v>16</v>
      </c>
      <c r="C30" s="23" t="s">
        <v>111</v>
      </c>
      <c r="D30" s="23" t="s">
        <v>116</v>
      </c>
      <c r="E30" s="23" t="s">
        <v>117</v>
      </c>
      <c r="F30" s="23" t="s">
        <v>118</v>
      </c>
      <c r="G30" s="23" t="s">
        <v>119</v>
      </c>
    </row>
    <row r="31" spans="1:7" ht="79.95" customHeight="1">
      <c r="A31" s="17">
        <v>46308</v>
      </c>
      <c r="B31" s="18" t="s">
        <v>10</v>
      </c>
      <c r="C31" s="19" t="s">
        <v>120</v>
      </c>
      <c r="D31" s="19" t="s">
        <v>121</v>
      </c>
      <c r="E31" s="19" t="s">
        <v>122</v>
      </c>
      <c r="F31" s="19" t="s">
        <v>123</v>
      </c>
      <c r="G31" s="19" t="s">
        <v>124</v>
      </c>
    </row>
    <row r="32" spans="1:7" ht="79.95" customHeight="1">
      <c r="A32" s="17">
        <v>46308</v>
      </c>
      <c r="B32" s="20" t="s">
        <v>16</v>
      </c>
      <c r="C32" s="19" t="s">
        <v>120</v>
      </c>
      <c r="D32" s="19" t="s">
        <v>125</v>
      </c>
      <c r="E32" s="19" t="s">
        <v>126</v>
      </c>
      <c r="F32" s="19" t="s">
        <v>127</v>
      </c>
      <c r="G32" s="19" t="s">
        <v>128</v>
      </c>
    </row>
    <row r="33" spans="1:7" ht="79.95" customHeight="1">
      <c r="A33" s="21">
        <v>46309</v>
      </c>
      <c r="B33" s="22" t="s">
        <v>10</v>
      </c>
      <c r="C33" s="23" t="s">
        <v>129</v>
      </c>
      <c r="D33" s="23" t="s">
        <v>130</v>
      </c>
      <c r="E33" s="23" t="s">
        <v>131</v>
      </c>
      <c r="F33" s="23" t="s">
        <v>132</v>
      </c>
      <c r="G33" s="23" t="s">
        <v>133</v>
      </c>
    </row>
    <row r="34" spans="1:7" ht="79.95" customHeight="1">
      <c r="A34" s="21">
        <v>46309</v>
      </c>
      <c r="B34" s="24" t="s">
        <v>16</v>
      </c>
      <c r="C34" s="23" t="s">
        <v>129</v>
      </c>
      <c r="D34" s="23" t="s">
        <v>134</v>
      </c>
      <c r="E34" s="23" t="s">
        <v>135</v>
      </c>
      <c r="F34" s="23" t="s">
        <v>136</v>
      </c>
      <c r="G34" s="23" t="s">
        <v>137</v>
      </c>
    </row>
    <row r="35" spans="1:7" ht="79.95" customHeight="1">
      <c r="A35" s="17">
        <v>46310</v>
      </c>
      <c r="B35" s="18" t="s">
        <v>10</v>
      </c>
      <c r="C35" s="19" t="s">
        <v>138</v>
      </c>
      <c r="D35" s="19" t="s">
        <v>139</v>
      </c>
      <c r="E35" s="19" t="s">
        <v>140</v>
      </c>
      <c r="F35" s="19" t="s">
        <v>141</v>
      </c>
      <c r="G35" s="19" t="s">
        <v>142</v>
      </c>
    </row>
    <row r="36" spans="1:7" ht="79.95" customHeight="1">
      <c r="A36" s="17">
        <v>46310</v>
      </c>
      <c r="B36" s="20" t="s">
        <v>16</v>
      </c>
      <c r="C36" s="19" t="s">
        <v>138</v>
      </c>
      <c r="D36" s="19" t="s">
        <v>143</v>
      </c>
      <c r="E36" s="19" t="s">
        <v>144</v>
      </c>
      <c r="F36" s="19" t="s">
        <v>145</v>
      </c>
      <c r="G36" s="19" t="s">
        <v>146</v>
      </c>
    </row>
    <row r="37" spans="1:7" ht="79.95" customHeight="1">
      <c r="A37" s="21">
        <v>46311</v>
      </c>
      <c r="B37" s="22" t="s">
        <v>10</v>
      </c>
      <c r="C37" s="23" t="s">
        <v>147</v>
      </c>
      <c r="D37" s="23" t="s">
        <v>148</v>
      </c>
      <c r="E37" s="23" t="s">
        <v>149</v>
      </c>
      <c r="F37" s="23" t="s">
        <v>150</v>
      </c>
      <c r="G37" s="23" t="s">
        <v>151</v>
      </c>
    </row>
    <row r="38" spans="1:7" ht="79.95" customHeight="1">
      <c r="A38" s="21">
        <v>46311</v>
      </c>
      <c r="B38" s="24" t="s">
        <v>16</v>
      </c>
      <c r="C38" s="23" t="s">
        <v>147</v>
      </c>
      <c r="D38" s="23" t="s">
        <v>152</v>
      </c>
      <c r="E38" s="23" t="s">
        <v>153</v>
      </c>
      <c r="F38" s="23" t="s">
        <v>154</v>
      </c>
      <c r="G38" s="23" t="s">
        <v>155</v>
      </c>
    </row>
    <row r="39" spans="1:7" ht="79.95" customHeight="1">
      <c r="A39" s="17">
        <v>46312</v>
      </c>
      <c r="B39" s="18" t="s">
        <v>10</v>
      </c>
      <c r="C39" s="19" t="s">
        <v>156</v>
      </c>
      <c r="D39" s="19" t="s">
        <v>157</v>
      </c>
      <c r="E39" s="19" t="s">
        <v>158</v>
      </c>
      <c r="F39" s="19" t="s">
        <v>159</v>
      </c>
      <c r="G39" s="19" t="s">
        <v>160</v>
      </c>
    </row>
    <row r="40" spans="1:7" ht="79.95" customHeight="1">
      <c r="A40" s="17">
        <v>46312</v>
      </c>
      <c r="B40" s="20" t="s">
        <v>16</v>
      </c>
      <c r="C40" s="19" t="s">
        <v>156</v>
      </c>
      <c r="D40" s="19" t="s">
        <v>161</v>
      </c>
      <c r="E40" s="19" t="s">
        <v>162</v>
      </c>
      <c r="F40" s="19" t="s">
        <v>163</v>
      </c>
      <c r="G40" s="19" t="s">
        <v>164</v>
      </c>
    </row>
    <row r="41" spans="1:7" ht="79.95" customHeight="1">
      <c r="A41" s="21">
        <v>46313</v>
      </c>
      <c r="B41" s="22" t="s">
        <v>10</v>
      </c>
      <c r="C41" s="23" t="s">
        <v>165</v>
      </c>
      <c r="D41" s="23" t="s">
        <v>166</v>
      </c>
      <c r="E41" s="23" t="s">
        <v>167</v>
      </c>
      <c r="F41" s="23" t="s">
        <v>168</v>
      </c>
      <c r="G41" s="23" t="s">
        <v>169</v>
      </c>
    </row>
    <row r="42" spans="1:7" ht="79.95" customHeight="1">
      <c r="A42" s="21">
        <v>46313</v>
      </c>
      <c r="B42" s="24" t="s">
        <v>16</v>
      </c>
      <c r="C42" s="23" t="s">
        <v>165</v>
      </c>
      <c r="D42" s="23" t="s">
        <v>170</v>
      </c>
      <c r="E42" s="23" t="s">
        <v>171</v>
      </c>
      <c r="F42" s="23" t="s">
        <v>172</v>
      </c>
      <c r="G42" s="23" t="s">
        <v>173</v>
      </c>
    </row>
    <row r="43" spans="1:7" ht="79.95" customHeight="1">
      <c r="A43" s="17">
        <v>46314</v>
      </c>
      <c r="B43" s="18" t="s">
        <v>10</v>
      </c>
      <c r="C43" s="19" t="s">
        <v>174</v>
      </c>
      <c r="D43" s="19" t="s">
        <v>175</v>
      </c>
      <c r="E43" s="19" t="s">
        <v>176</v>
      </c>
      <c r="F43" s="19" t="s">
        <v>177</v>
      </c>
      <c r="G43" s="19" t="s">
        <v>178</v>
      </c>
    </row>
    <row r="44" spans="1:7" ht="79.95" customHeight="1">
      <c r="A44" s="17">
        <v>46314</v>
      </c>
      <c r="B44" s="20" t="s">
        <v>16</v>
      </c>
      <c r="C44" s="19" t="s">
        <v>174</v>
      </c>
      <c r="D44" s="19" t="s">
        <v>179</v>
      </c>
      <c r="E44" s="19" t="s">
        <v>180</v>
      </c>
      <c r="F44" s="19" t="s">
        <v>181</v>
      </c>
      <c r="G44" s="19" t="s">
        <v>182</v>
      </c>
    </row>
    <row r="45" spans="1:7" ht="79.95" customHeight="1">
      <c r="A45" s="21">
        <v>46315</v>
      </c>
      <c r="B45" s="22" t="s">
        <v>10</v>
      </c>
      <c r="C45" s="23" t="s">
        <v>183</v>
      </c>
      <c r="D45" s="23" t="s">
        <v>184</v>
      </c>
      <c r="E45" s="23" t="s">
        <v>185</v>
      </c>
      <c r="F45" s="23" t="s">
        <v>186</v>
      </c>
      <c r="G45" s="23" t="s">
        <v>187</v>
      </c>
    </row>
    <row r="46" spans="1:7" ht="79.95" customHeight="1">
      <c r="A46" s="21">
        <v>46315</v>
      </c>
      <c r="B46" s="24" t="s">
        <v>16</v>
      </c>
      <c r="C46" s="23" t="s">
        <v>183</v>
      </c>
      <c r="D46" s="23" t="s">
        <v>188</v>
      </c>
      <c r="E46" s="23" t="s">
        <v>189</v>
      </c>
      <c r="F46" s="23" t="s">
        <v>190</v>
      </c>
      <c r="G46" s="23" t="s">
        <v>191</v>
      </c>
    </row>
    <row r="47" spans="1:7" ht="79.95" customHeight="1">
      <c r="A47" s="17">
        <v>46316</v>
      </c>
      <c r="B47" s="18" t="s">
        <v>10</v>
      </c>
      <c r="C47" s="19" t="s">
        <v>192</v>
      </c>
      <c r="D47" s="19" t="s">
        <v>193</v>
      </c>
      <c r="E47" s="19" t="s">
        <v>194</v>
      </c>
      <c r="F47" s="19" t="s">
        <v>195</v>
      </c>
      <c r="G47" s="19" t="s">
        <v>196</v>
      </c>
    </row>
    <row r="48" spans="1:7" ht="79.95" customHeight="1">
      <c r="A48" s="17">
        <v>46316</v>
      </c>
      <c r="B48" s="20" t="s">
        <v>16</v>
      </c>
      <c r="C48" s="19" t="s">
        <v>192</v>
      </c>
      <c r="D48" s="19" t="s">
        <v>197</v>
      </c>
      <c r="E48" s="19" t="s">
        <v>198</v>
      </c>
      <c r="F48" s="19" t="s">
        <v>199</v>
      </c>
      <c r="G48" s="19" t="s">
        <v>200</v>
      </c>
    </row>
    <row r="49" spans="1:7" ht="79.95" customHeight="1">
      <c r="A49" s="21">
        <v>46317</v>
      </c>
      <c r="B49" s="22" t="s">
        <v>10</v>
      </c>
      <c r="C49" s="23" t="s">
        <v>201</v>
      </c>
      <c r="D49" s="23" t="s">
        <v>202</v>
      </c>
      <c r="E49" s="23" t="s">
        <v>203</v>
      </c>
      <c r="F49" s="23" t="s">
        <v>204</v>
      </c>
      <c r="G49" s="23" t="s">
        <v>205</v>
      </c>
    </row>
    <row r="50" spans="1:7" ht="79.95" customHeight="1">
      <c r="A50" s="21">
        <v>46317</v>
      </c>
      <c r="B50" s="24" t="s">
        <v>16</v>
      </c>
      <c r="C50" s="23" t="s">
        <v>201</v>
      </c>
      <c r="D50" s="23" t="s">
        <v>206</v>
      </c>
      <c r="E50" s="23" t="s">
        <v>207</v>
      </c>
      <c r="F50" s="23" t="s">
        <v>208</v>
      </c>
      <c r="G50" s="23" t="s">
        <v>209</v>
      </c>
    </row>
    <row r="51" spans="1:7" ht="79.95" customHeight="1">
      <c r="A51" s="17">
        <v>46318</v>
      </c>
      <c r="B51" s="18" t="s">
        <v>10</v>
      </c>
      <c r="C51" s="19" t="s">
        <v>210</v>
      </c>
      <c r="D51" s="19" t="s">
        <v>211</v>
      </c>
      <c r="E51" s="19" t="s">
        <v>212</v>
      </c>
      <c r="F51" s="19" t="s">
        <v>213</v>
      </c>
      <c r="G51" s="19" t="s">
        <v>214</v>
      </c>
    </row>
    <row r="52" spans="1:7" ht="79.95" customHeight="1">
      <c r="A52" s="17">
        <v>46318</v>
      </c>
      <c r="B52" s="20" t="s">
        <v>16</v>
      </c>
      <c r="C52" s="19" t="s">
        <v>210</v>
      </c>
      <c r="D52" s="19" t="s">
        <v>215</v>
      </c>
      <c r="E52" s="19" t="s">
        <v>216</v>
      </c>
      <c r="F52" s="19" t="s">
        <v>217</v>
      </c>
      <c r="G52" s="19" t="s">
        <v>218</v>
      </c>
    </row>
    <row r="53" spans="1:7" ht="79.95" customHeight="1">
      <c r="A53" s="21">
        <v>46319</v>
      </c>
      <c r="B53" s="22" t="s">
        <v>10</v>
      </c>
      <c r="C53" s="23" t="s">
        <v>219</v>
      </c>
      <c r="D53" s="23" t="s">
        <v>220</v>
      </c>
      <c r="E53" s="23" t="s">
        <v>221</v>
      </c>
      <c r="F53" s="23" t="s">
        <v>222</v>
      </c>
      <c r="G53" s="23" t="s">
        <v>223</v>
      </c>
    </row>
    <row r="54" spans="1:7" ht="79.95" customHeight="1">
      <c r="A54" s="21">
        <v>46319</v>
      </c>
      <c r="B54" s="24" t="s">
        <v>16</v>
      </c>
      <c r="C54" s="23" t="s">
        <v>219</v>
      </c>
      <c r="D54" s="23" t="s">
        <v>224</v>
      </c>
      <c r="E54" s="23" t="s">
        <v>225</v>
      </c>
      <c r="F54" s="23" t="s">
        <v>226</v>
      </c>
      <c r="G54" s="23" t="s">
        <v>227</v>
      </c>
    </row>
    <row r="55" spans="1:7" ht="79.95" customHeight="1">
      <c r="A55" s="17">
        <v>46320</v>
      </c>
      <c r="B55" s="18" t="s">
        <v>10</v>
      </c>
      <c r="C55" s="19" t="s">
        <v>228</v>
      </c>
      <c r="D55" s="19" t="s">
        <v>229</v>
      </c>
      <c r="E55" s="19" t="s">
        <v>230</v>
      </c>
      <c r="F55" s="19" t="s">
        <v>231</v>
      </c>
      <c r="G55" s="19" t="s">
        <v>232</v>
      </c>
    </row>
    <row r="56" spans="1:7" ht="79.95" customHeight="1">
      <c r="A56" s="17">
        <v>46320</v>
      </c>
      <c r="B56" s="20" t="s">
        <v>16</v>
      </c>
      <c r="C56" s="19" t="s">
        <v>228</v>
      </c>
      <c r="D56" s="19" t="s">
        <v>233</v>
      </c>
      <c r="E56" s="19" t="s">
        <v>234</v>
      </c>
      <c r="F56" s="19" t="s">
        <v>235</v>
      </c>
      <c r="G56" s="19" t="s">
        <v>236</v>
      </c>
    </row>
    <row r="57" spans="1:7" ht="79.95" customHeight="1">
      <c r="A57" s="25">
        <v>46321</v>
      </c>
      <c r="B57" s="26" t="s">
        <v>10</v>
      </c>
      <c r="C57" s="27" t="s">
        <v>237</v>
      </c>
      <c r="D57" s="23" t="s">
        <v>238</v>
      </c>
      <c r="E57" s="23" t="s">
        <v>239</v>
      </c>
      <c r="F57" s="23" t="s">
        <v>240</v>
      </c>
      <c r="G57" s="23" t="s">
        <v>241</v>
      </c>
    </row>
    <row r="58" spans="1:7" ht="79.95" customHeight="1">
      <c r="A58" s="25">
        <v>46321</v>
      </c>
      <c r="B58" s="28" t="s">
        <v>16</v>
      </c>
      <c r="C58" s="27" t="s">
        <v>237</v>
      </c>
      <c r="D58" s="23" t="s">
        <v>242</v>
      </c>
      <c r="E58" s="23" t="s">
        <v>243</v>
      </c>
      <c r="F58" s="23" t="s">
        <v>244</v>
      </c>
      <c r="G58" s="23" t="s">
        <v>245</v>
      </c>
    </row>
    <row r="59" spans="1:7" ht="79.95" customHeight="1">
      <c r="A59" s="17">
        <v>46322</v>
      </c>
      <c r="B59" s="18" t="s">
        <v>10</v>
      </c>
      <c r="C59" s="19" t="s">
        <v>246</v>
      </c>
      <c r="D59" s="19" t="s">
        <v>247</v>
      </c>
      <c r="E59" s="19" t="s">
        <v>248</v>
      </c>
      <c r="F59" s="19" t="s">
        <v>249</v>
      </c>
      <c r="G59" s="19" t="s">
        <v>250</v>
      </c>
    </row>
    <row r="60" spans="1:7" ht="79.95" customHeight="1">
      <c r="A60" s="17">
        <v>46322</v>
      </c>
      <c r="B60" s="20" t="s">
        <v>16</v>
      </c>
      <c r="C60" s="19" t="s">
        <v>246</v>
      </c>
      <c r="D60" s="19" t="s">
        <v>251</v>
      </c>
      <c r="E60" s="19" t="s">
        <v>252</v>
      </c>
      <c r="F60" s="19" t="s">
        <v>253</v>
      </c>
      <c r="G60" s="19" t="s">
        <v>254</v>
      </c>
    </row>
    <row r="61" spans="1:7" ht="79.95" customHeight="1">
      <c r="A61" s="21">
        <v>46323</v>
      </c>
      <c r="B61" s="22" t="s">
        <v>10</v>
      </c>
      <c r="C61" s="23" t="s">
        <v>255</v>
      </c>
      <c r="D61" s="23" t="s">
        <v>256</v>
      </c>
      <c r="E61" s="23" t="s">
        <v>257</v>
      </c>
      <c r="F61" s="23" t="s">
        <v>258</v>
      </c>
      <c r="G61" s="23" t="s">
        <v>259</v>
      </c>
    </row>
    <row r="62" spans="1:7" ht="79.95" customHeight="1">
      <c r="A62" s="21">
        <v>46323</v>
      </c>
      <c r="B62" s="24" t="s">
        <v>16</v>
      </c>
      <c r="C62" s="23" t="s">
        <v>255</v>
      </c>
      <c r="D62" s="23" t="s">
        <v>260</v>
      </c>
      <c r="E62" s="23" t="s">
        <v>261</v>
      </c>
      <c r="F62" s="23" t="s">
        <v>262</v>
      </c>
      <c r="G62" s="23" t="s">
        <v>263</v>
      </c>
    </row>
    <row r="63" spans="1:7" ht="79.95" customHeight="1">
      <c r="A63" s="17">
        <v>46324</v>
      </c>
      <c r="B63" s="18" t="s">
        <v>10</v>
      </c>
      <c r="C63" s="19" t="s">
        <v>264</v>
      </c>
      <c r="D63" s="19" t="s">
        <v>265</v>
      </c>
      <c r="E63" s="19" t="s">
        <v>266</v>
      </c>
      <c r="F63" s="19" t="s">
        <v>267</v>
      </c>
      <c r="G63" s="19" t="s">
        <v>268</v>
      </c>
    </row>
    <row r="64" spans="1:7" ht="79.95" customHeight="1">
      <c r="A64" s="17">
        <v>46324</v>
      </c>
      <c r="B64" s="20" t="s">
        <v>16</v>
      </c>
      <c r="C64" s="19" t="s">
        <v>264</v>
      </c>
      <c r="D64" s="19" t="s">
        <v>269</v>
      </c>
      <c r="E64" s="19" t="s">
        <v>270</v>
      </c>
      <c r="F64" s="19" t="s">
        <v>271</v>
      </c>
      <c r="G64" s="19" t="s">
        <v>272</v>
      </c>
    </row>
    <row r="65" spans="1:7" ht="79.95" customHeight="1">
      <c r="A65" s="21">
        <v>46325</v>
      </c>
      <c r="B65" s="22" t="s">
        <v>10</v>
      </c>
      <c r="C65" s="23" t="s">
        <v>273</v>
      </c>
      <c r="D65" s="23" t="s">
        <v>274</v>
      </c>
      <c r="E65" s="23" t="s">
        <v>275</v>
      </c>
      <c r="F65" s="23" t="s">
        <v>276</v>
      </c>
      <c r="G65" s="23" t="s">
        <v>277</v>
      </c>
    </row>
    <row r="66" spans="1:7" ht="79.95" customHeight="1">
      <c r="A66" s="21">
        <v>46325</v>
      </c>
      <c r="B66" s="24" t="s">
        <v>16</v>
      </c>
      <c r="C66" s="23" t="s">
        <v>273</v>
      </c>
      <c r="D66" s="23" t="s">
        <v>278</v>
      </c>
      <c r="E66" s="23" t="s">
        <v>279</v>
      </c>
      <c r="F66" s="23" t="s">
        <v>280</v>
      </c>
      <c r="G66" s="23" t="s">
        <v>281</v>
      </c>
    </row>
    <row r="67" spans="1:7" ht="79.95" customHeight="1">
      <c r="A67" s="17">
        <v>46326</v>
      </c>
      <c r="B67" s="18" t="s">
        <v>10</v>
      </c>
      <c r="C67" s="19" t="s">
        <v>282</v>
      </c>
      <c r="D67" s="19" t="s">
        <v>283</v>
      </c>
      <c r="E67" s="19" t="s">
        <v>284</v>
      </c>
      <c r="F67" s="19" t="s">
        <v>285</v>
      </c>
      <c r="G67" s="19" t="s">
        <v>286</v>
      </c>
    </row>
    <row r="68" spans="1:7" ht="79.95" customHeight="1">
      <c r="A68" s="17">
        <v>46326</v>
      </c>
      <c r="B68" s="20" t="s">
        <v>16</v>
      </c>
      <c r="C68" s="19" t="s">
        <v>282</v>
      </c>
      <c r="D68" s="19" t="s">
        <v>287</v>
      </c>
      <c r="E68" s="19" t="s">
        <v>288</v>
      </c>
      <c r="F68" s="19" t="s">
        <v>289</v>
      </c>
      <c r="G68" s="19" t="s">
        <v>290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C83A0"/>
  </sheetPr>
  <dimension ref="A1:J38"/>
  <sheetViews>
    <sheetView showGridLines="0" workbookViewId="0"/>
  </sheetViews>
  <sheetFormatPr defaultRowHeight="13.8"/>
  <cols>
    <col min="1" max="1" width="14.3984375" customWidth="1"/>
    <col min="2" max="2" width="16.8984375" customWidth="1"/>
    <col min="3" max="3" width="11.8984375" customWidth="1"/>
    <col min="4" max="4" width="16.8984375" customWidth="1"/>
    <col min="5" max="5" width="11.8984375" customWidth="1"/>
    <col min="6" max="6" width="12.5" customWidth="1"/>
    <col min="7" max="7" width="15.59765625" customWidth="1"/>
    <col min="8" max="8" width="37.5" customWidth="1"/>
    <col min="9" max="10" width="30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8.05" customHeight="1">
      <c r="A2" s="2" t="s">
        <v>291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1" t="s">
        <v>292</v>
      </c>
      <c r="B4" s="1">
        <f>COUNTIFS(G8:G38,"Complete")</f>
        <v>5</v>
      </c>
      <c r="C4" s="1" t="s">
        <v>293</v>
      </c>
      <c r="D4" s="1" t="s">
        <v>294</v>
      </c>
      <c r="E4" s="1">
        <f>SUM(F8:F38)</f>
        <v>350</v>
      </c>
      <c r="F4" s="1"/>
      <c r="G4" s="1"/>
      <c r="H4" s="1"/>
      <c r="I4" s="1"/>
      <c r="J4" s="1"/>
    </row>
    <row r="5" spans="1:10">
      <c r="A5" s="1" t="s">
        <v>295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1" t="s">
        <v>296</v>
      </c>
      <c r="B6" s="1"/>
      <c r="C6" s="1"/>
      <c r="D6" s="1"/>
      <c r="E6" s="1"/>
      <c r="F6" s="1"/>
      <c r="G6" s="1"/>
      <c r="H6" s="1"/>
      <c r="I6" s="1"/>
      <c r="J6" s="1"/>
    </row>
    <row r="7" spans="1:10" ht="31.95" customHeight="1">
      <c r="A7" s="6" t="s">
        <v>3</v>
      </c>
      <c r="B7" s="7" t="s">
        <v>297</v>
      </c>
      <c r="C7" s="7" t="s">
        <v>298</v>
      </c>
      <c r="D7" s="7" t="s">
        <v>299</v>
      </c>
      <c r="E7" s="7" t="s">
        <v>300</v>
      </c>
      <c r="F7" s="7" t="s">
        <v>301</v>
      </c>
      <c r="G7" s="7" t="s">
        <v>302</v>
      </c>
      <c r="H7" s="7" t="s">
        <v>303</v>
      </c>
      <c r="I7" s="7" t="s">
        <v>304</v>
      </c>
      <c r="J7" s="8" t="s">
        <v>305</v>
      </c>
    </row>
    <row r="8" spans="1:10" ht="55.95" customHeight="1">
      <c r="A8" s="4">
        <v>46296</v>
      </c>
      <c r="B8" s="10" t="s">
        <v>306</v>
      </c>
      <c r="C8" s="11">
        <v>60</v>
      </c>
      <c r="D8" s="10" t="s">
        <v>306</v>
      </c>
      <c r="E8" s="11">
        <v>25</v>
      </c>
      <c r="F8" s="9">
        <f t="shared" ref="F8:F38" si="0">IF(COUNT(C8,E8)=0,"",SUM(C8,E8))</f>
        <v>85</v>
      </c>
      <c r="G8" s="1" t="str">
        <f t="shared" ref="G8:G38" si="1">IF(AND(B8="Done",D8="Done",C8&gt;=25,E8&gt;=25),"Complete","Pending")</f>
        <v>Complete</v>
      </c>
      <c r="H8" s="29" t="s">
        <v>307</v>
      </c>
      <c r="I8" s="12"/>
      <c r="J8" s="12"/>
    </row>
    <row r="9" spans="1:10" ht="55.95" customHeight="1">
      <c r="A9" s="4">
        <v>46297</v>
      </c>
      <c r="B9" s="10" t="s">
        <v>306</v>
      </c>
      <c r="C9" s="11">
        <v>90</v>
      </c>
      <c r="D9" s="10" t="s">
        <v>306</v>
      </c>
      <c r="E9" s="11">
        <v>25</v>
      </c>
      <c r="F9" s="9">
        <f t="shared" si="0"/>
        <v>115</v>
      </c>
      <c r="G9" s="1" t="str">
        <f t="shared" si="1"/>
        <v>Complete</v>
      </c>
      <c r="H9" s="29" t="s">
        <v>308</v>
      </c>
      <c r="I9" s="12"/>
      <c r="J9" s="12"/>
    </row>
    <row r="10" spans="1:10" ht="55.95" customHeight="1">
      <c r="A10" s="4">
        <v>46298</v>
      </c>
      <c r="B10" s="10" t="s">
        <v>306</v>
      </c>
      <c r="C10" s="11">
        <v>25</v>
      </c>
      <c r="D10" s="10" t="s">
        <v>306</v>
      </c>
      <c r="E10" s="11">
        <v>25</v>
      </c>
      <c r="F10" s="9">
        <f t="shared" si="0"/>
        <v>50</v>
      </c>
      <c r="G10" s="1" t="str">
        <f t="shared" si="1"/>
        <v>Complete</v>
      </c>
      <c r="H10" s="12" t="s">
        <v>309</v>
      </c>
      <c r="I10" s="12" t="s">
        <v>310</v>
      </c>
      <c r="J10" s="12"/>
    </row>
    <row r="11" spans="1:10" ht="55.95" customHeight="1">
      <c r="A11" s="4">
        <v>46299</v>
      </c>
      <c r="B11" s="10" t="s">
        <v>306</v>
      </c>
      <c r="C11" s="11">
        <v>25</v>
      </c>
      <c r="D11" s="10" t="s">
        <v>306</v>
      </c>
      <c r="E11" s="11">
        <v>25</v>
      </c>
      <c r="F11" s="9">
        <f t="shared" si="0"/>
        <v>50</v>
      </c>
      <c r="G11" s="1" t="str">
        <f t="shared" si="1"/>
        <v>Complete</v>
      </c>
      <c r="H11" s="12" t="s">
        <v>309</v>
      </c>
      <c r="I11" s="12" t="s">
        <v>310</v>
      </c>
      <c r="J11" s="12"/>
    </row>
    <row r="12" spans="1:10" ht="55.95" customHeight="1">
      <c r="A12" s="4">
        <v>46300</v>
      </c>
      <c r="B12" s="10" t="s">
        <v>306</v>
      </c>
      <c r="C12" s="11">
        <v>25</v>
      </c>
      <c r="D12" s="10" t="s">
        <v>306</v>
      </c>
      <c r="E12" s="11">
        <v>25</v>
      </c>
      <c r="F12" s="9">
        <f t="shared" si="0"/>
        <v>50</v>
      </c>
      <c r="G12" s="1" t="str">
        <f t="shared" si="1"/>
        <v>Complete</v>
      </c>
      <c r="H12" s="12" t="s">
        <v>309</v>
      </c>
      <c r="I12" s="12" t="s">
        <v>310</v>
      </c>
      <c r="J12" s="12"/>
    </row>
    <row r="13" spans="1:10" ht="55.95" customHeight="1">
      <c r="A13" s="4">
        <v>46301</v>
      </c>
      <c r="B13" s="10" t="s">
        <v>311</v>
      </c>
      <c r="C13" s="11"/>
      <c r="D13" s="10" t="s">
        <v>311</v>
      </c>
      <c r="E13" s="11"/>
      <c r="F13" s="9" t="str">
        <f t="shared" si="0"/>
        <v/>
      </c>
      <c r="G13" s="1" t="str">
        <f t="shared" si="1"/>
        <v>Pending</v>
      </c>
      <c r="H13" s="12"/>
      <c r="I13" s="12"/>
      <c r="J13" s="12"/>
    </row>
    <row r="14" spans="1:10" ht="55.95" customHeight="1">
      <c r="A14" s="4">
        <v>46302</v>
      </c>
      <c r="B14" s="10" t="s">
        <v>311</v>
      </c>
      <c r="C14" s="11"/>
      <c r="D14" s="10" t="s">
        <v>311</v>
      </c>
      <c r="E14" s="11"/>
      <c r="F14" s="9" t="str">
        <f t="shared" si="0"/>
        <v/>
      </c>
      <c r="G14" s="1" t="str">
        <f t="shared" si="1"/>
        <v>Pending</v>
      </c>
      <c r="H14" s="12"/>
      <c r="I14" s="12"/>
      <c r="J14" s="12"/>
    </row>
    <row r="15" spans="1:10" ht="55.95" customHeight="1">
      <c r="A15" s="4">
        <v>46303</v>
      </c>
      <c r="B15" s="10" t="s">
        <v>311</v>
      </c>
      <c r="C15" s="11"/>
      <c r="D15" s="10" t="s">
        <v>311</v>
      </c>
      <c r="E15" s="11"/>
      <c r="F15" s="9" t="str">
        <f t="shared" si="0"/>
        <v/>
      </c>
      <c r="G15" s="1" t="str">
        <f t="shared" si="1"/>
        <v>Pending</v>
      </c>
      <c r="H15" s="12"/>
      <c r="I15" s="12"/>
      <c r="J15" s="12"/>
    </row>
    <row r="16" spans="1:10" ht="55.95" customHeight="1">
      <c r="A16" s="4">
        <v>46304</v>
      </c>
      <c r="B16" s="10" t="s">
        <v>311</v>
      </c>
      <c r="C16" s="11"/>
      <c r="D16" s="10" t="s">
        <v>311</v>
      </c>
      <c r="E16" s="11"/>
      <c r="F16" s="9" t="str">
        <f t="shared" si="0"/>
        <v/>
      </c>
      <c r="G16" s="1" t="str">
        <f t="shared" si="1"/>
        <v>Pending</v>
      </c>
      <c r="H16" s="12"/>
      <c r="I16" s="12"/>
      <c r="J16" s="12"/>
    </row>
    <row r="17" spans="1:10" ht="55.95" customHeight="1">
      <c r="A17" s="4">
        <v>46305</v>
      </c>
      <c r="B17" s="10" t="s">
        <v>311</v>
      </c>
      <c r="C17" s="11"/>
      <c r="D17" s="10" t="s">
        <v>311</v>
      </c>
      <c r="E17" s="11"/>
      <c r="F17" s="9" t="str">
        <f t="shared" si="0"/>
        <v/>
      </c>
      <c r="G17" s="1" t="str">
        <f t="shared" si="1"/>
        <v>Pending</v>
      </c>
      <c r="H17" s="12"/>
      <c r="I17" s="12"/>
      <c r="J17" s="12"/>
    </row>
    <row r="18" spans="1:10" ht="55.95" customHeight="1">
      <c r="A18" s="4">
        <v>46306</v>
      </c>
      <c r="B18" s="10" t="s">
        <v>311</v>
      </c>
      <c r="C18" s="11"/>
      <c r="D18" s="10" t="s">
        <v>311</v>
      </c>
      <c r="E18" s="11"/>
      <c r="F18" s="9" t="str">
        <f t="shared" si="0"/>
        <v/>
      </c>
      <c r="G18" s="1" t="str">
        <f t="shared" si="1"/>
        <v>Pending</v>
      </c>
      <c r="H18" s="12"/>
      <c r="I18" s="12"/>
      <c r="J18" s="12"/>
    </row>
    <row r="19" spans="1:10" ht="55.95" customHeight="1">
      <c r="A19" s="4">
        <v>46307</v>
      </c>
      <c r="B19" s="10" t="s">
        <v>311</v>
      </c>
      <c r="C19" s="11"/>
      <c r="D19" s="10" t="s">
        <v>311</v>
      </c>
      <c r="E19" s="11"/>
      <c r="F19" s="9" t="str">
        <f t="shared" si="0"/>
        <v/>
      </c>
      <c r="G19" s="1" t="str">
        <f t="shared" si="1"/>
        <v>Pending</v>
      </c>
      <c r="H19" s="12"/>
      <c r="I19" s="12"/>
      <c r="J19" s="12"/>
    </row>
    <row r="20" spans="1:10" ht="55.95" customHeight="1">
      <c r="A20" s="4">
        <v>46308</v>
      </c>
      <c r="B20" s="10" t="s">
        <v>311</v>
      </c>
      <c r="C20" s="11"/>
      <c r="D20" s="10" t="s">
        <v>311</v>
      </c>
      <c r="E20" s="11"/>
      <c r="F20" s="9" t="str">
        <f t="shared" si="0"/>
        <v/>
      </c>
      <c r="G20" s="1" t="str">
        <f t="shared" si="1"/>
        <v>Pending</v>
      </c>
      <c r="H20" s="12"/>
      <c r="I20" s="12"/>
      <c r="J20" s="12"/>
    </row>
    <row r="21" spans="1:10" ht="55.95" customHeight="1">
      <c r="A21" s="4">
        <v>46309</v>
      </c>
      <c r="B21" s="10" t="s">
        <v>311</v>
      </c>
      <c r="C21" s="11"/>
      <c r="D21" s="10" t="s">
        <v>311</v>
      </c>
      <c r="E21" s="11"/>
      <c r="F21" s="9" t="str">
        <f t="shared" si="0"/>
        <v/>
      </c>
      <c r="G21" s="1" t="str">
        <f t="shared" si="1"/>
        <v>Pending</v>
      </c>
      <c r="H21" s="12"/>
      <c r="I21" s="12"/>
      <c r="J21" s="12"/>
    </row>
    <row r="22" spans="1:10" ht="55.95" customHeight="1">
      <c r="A22" s="4">
        <v>46310</v>
      </c>
      <c r="B22" s="10" t="s">
        <v>311</v>
      </c>
      <c r="C22" s="11"/>
      <c r="D22" s="10" t="s">
        <v>311</v>
      </c>
      <c r="E22" s="11"/>
      <c r="F22" s="9" t="str">
        <f t="shared" si="0"/>
        <v/>
      </c>
      <c r="G22" s="1" t="str">
        <f t="shared" si="1"/>
        <v>Pending</v>
      </c>
      <c r="H22" s="12"/>
      <c r="I22" s="12"/>
      <c r="J22" s="12"/>
    </row>
    <row r="23" spans="1:10" ht="55.95" customHeight="1">
      <c r="A23" s="4">
        <v>46311</v>
      </c>
      <c r="B23" s="10" t="s">
        <v>311</v>
      </c>
      <c r="C23" s="11"/>
      <c r="D23" s="10" t="s">
        <v>311</v>
      </c>
      <c r="E23" s="11"/>
      <c r="F23" s="9" t="str">
        <f t="shared" si="0"/>
        <v/>
      </c>
      <c r="G23" s="1" t="str">
        <f t="shared" si="1"/>
        <v>Pending</v>
      </c>
      <c r="H23" s="12"/>
      <c r="I23" s="12"/>
      <c r="J23" s="12"/>
    </row>
    <row r="24" spans="1:10" ht="55.95" customHeight="1">
      <c r="A24" s="4">
        <v>46312</v>
      </c>
      <c r="B24" s="10" t="s">
        <v>311</v>
      </c>
      <c r="C24" s="11"/>
      <c r="D24" s="10" t="s">
        <v>311</v>
      </c>
      <c r="E24" s="11"/>
      <c r="F24" s="9" t="str">
        <f t="shared" si="0"/>
        <v/>
      </c>
      <c r="G24" s="1" t="str">
        <f t="shared" si="1"/>
        <v>Pending</v>
      </c>
      <c r="H24" s="12"/>
      <c r="I24" s="12"/>
      <c r="J24" s="12"/>
    </row>
    <row r="25" spans="1:10" ht="55.95" customHeight="1">
      <c r="A25" s="4">
        <v>46313</v>
      </c>
      <c r="B25" s="10" t="s">
        <v>311</v>
      </c>
      <c r="C25" s="11"/>
      <c r="D25" s="10" t="s">
        <v>311</v>
      </c>
      <c r="E25" s="11"/>
      <c r="F25" s="9" t="str">
        <f t="shared" si="0"/>
        <v/>
      </c>
      <c r="G25" s="1" t="str">
        <f t="shared" si="1"/>
        <v>Pending</v>
      </c>
      <c r="H25" s="12"/>
      <c r="I25" s="12"/>
      <c r="J25" s="12"/>
    </row>
    <row r="26" spans="1:10" ht="55.95" customHeight="1">
      <c r="A26" s="4">
        <v>46314</v>
      </c>
      <c r="B26" s="10" t="s">
        <v>311</v>
      </c>
      <c r="C26" s="11"/>
      <c r="D26" s="10" t="s">
        <v>311</v>
      </c>
      <c r="E26" s="11"/>
      <c r="F26" s="9" t="str">
        <f t="shared" si="0"/>
        <v/>
      </c>
      <c r="G26" s="1" t="str">
        <f t="shared" si="1"/>
        <v>Pending</v>
      </c>
      <c r="H26" s="12"/>
      <c r="I26" s="12"/>
      <c r="J26" s="12"/>
    </row>
    <row r="27" spans="1:10" ht="55.95" customHeight="1">
      <c r="A27" s="4">
        <v>46315</v>
      </c>
      <c r="B27" s="10" t="s">
        <v>311</v>
      </c>
      <c r="C27" s="11"/>
      <c r="D27" s="10" t="s">
        <v>311</v>
      </c>
      <c r="E27" s="11"/>
      <c r="F27" s="9" t="str">
        <f t="shared" si="0"/>
        <v/>
      </c>
      <c r="G27" s="1" t="str">
        <f t="shared" si="1"/>
        <v>Pending</v>
      </c>
      <c r="H27" s="12"/>
      <c r="I27" s="12"/>
      <c r="J27" s="12"/>
    </row>
    <row r="28" spans="1:10" ht="55.95" customHeight="1">
      <c r="A28" s="4">
        <v>46316</v>
      </c>
      <c r="B28" s="10" t="s">
        <v>311</v>
      </c>
      <c r="C28" s="11"/>
      <c r="D28" s="10" t="s">
        <v>311</v>
      </c>
      <c r="E28" s="11"/>
      <c r="F28" s="9" t="str">
        <f t="shared" si="0"/>
        <v/>
      </c>
      <c r="G28" s="1" t="str">
        <f t="shared" si="1"/>
        <v>Pending</v>
      </c>
      <c r="H28" s="12"/>
      <c r="I28" s="12"/>
      <c r="J28" s="12"/>
    </row>
    <row r="29" spans="1:10" ht="55.95" customHeight="1">
      <c r="A29" s="4">
        <v>46317</v>
      </c>
      <c r="B29" s="10" t="s">
        <v>311</v>
      </c>
      <c r="C29" s="11"/>
      <c r="D29" s="10" t="s">
        <v>311</v>
      </c>
      <c r="E29" s="11"/>
      <c r="F29" s="9" t="str">
        <f t="shared" si="0"/>
        <v/>
      </c>
      <c r="G29" s="1" t="str">
        <f t="shared" si="1"/>
        <v>Pending</v>
      </c>
      <c r="H29" s="12"/>
      <c r="I29" s="12"/>
      <c r="J29" s="12"/>
    </row>
    <row r="30" spans="1:10" ht="55.95" customHeight="1">
      <c r="A30" s="4">
        <v>46318</v>
      </c>
      <c r="B30" s="10" t="s">
        <v>311</v>
      </c>
      <c r="C30" s="11"/>
      <c r="D30" s="10" t="s">
        <v>311</v>
      </c>
      <c r="E30" s="11"/>
      <c r="F30" s="9" t="str">
        <f t="shared" si="0"/>
        <v/>
      </c>
      <c r="G30" s="1" t="str">
        <f t="shared" si="1"/>
        <v>Pending</v>
      </c>
      <c r="H30" s="12"/>
      <c r="I30" s="12"/>
      <c r="J30" s="12"/>
    </row>
    <row r="31" spans="1:10" ht="55.95" customHeight="1">
      <c r="A31" s="4">
        <v>46319</v>
      </c>
      <c r="B31" s="10" t="s">
        <v>311</v>
      </c>
      <c r="C31" s="11"/>
      <c r="D31" s="10" t="s">
        <v>311</v>
      </c>
      <c r="E31" s="11"/>
      <c r="F31" s="9" t="str">
        <f t="shared" si="0"/>
        <v/>
      </c>
      <c r="G31" s="1" t="str">
        <f t="shared" si="1"/>
        <v>Pending</v>
      </c>
      <c r="H31" s="12"/>
      <c r="I31" s="12"/>
      <c r="J31" s="12"/>
    </row>
    <row r="32" spans="1:10" ht="55.95" customHeight="1">
      <c r="A32" s="4">
        <v>46320</v>
      </c>
      <c r="B32" s="10" t="s">
        <v>311</v>
      </c>
      <c r="C32" s="11"/>
      <c r="D32" s="10" t="s">
        <v>311</v>
      </c>
      <c r="E32" s="11"/>
      <c r="F32" s="9" t="str">
        <f t="shared" si="0"/>
        <v/>
      </c>
      <c r="G32" s="1" t="str">
        <f t="shared" si="1"/>
        <v>Pending</v>
      </c>
      <c r="H32" s="12"/>
      <c r="I32" s="12"/>
      <c r="J32" s="12"/>
    </row>
    <row r="33" spans="1:10" ht="55.95" customHeight="1">
      <c r="A33" s="4">
        <v>46321</v>
      </c>
      <c r="B33" s="10" t="s">
        <v>311</v>
      </c>
      <c r="C33" s="11"/>
      <c r="D33" s="10" t="s">
        <v>311</v>
      </c>
      <c r="E33" s="11"/>
      <c r="F33" s="9" t="str">
        <f t="shared" si="0"/>
        <v/>
      </c>
      <c r="G33" s="1" t="str">
        <f t="shared" si="1"/>
        <v>Pending</v>
      </c>
      <c r="H33" s="12"/>
      <c r="I33" s="12"/>
      <c r="J33" s="12"/>
    </row>
    <row r="34" spans="1:10" ht="55.95" customHeight="1">
      <c r="A34" s="4">
        <v>46322</v>
      </c>
      <c r="B34" s="10" t="s">
        <v>311</v>
      </c>
      <c r="C34" s="11"/>
      <c r="D34" s="10" t="s">
        <v>311</v>
      </c>
      <c r="E34" s="11"/>
      <c r="F34" s="9" t="str">
        <f t="shared" si="0"/>
        <v/>
      </c>
      <c r="G34" s="1" t="str">
        <f t="shared" si="1"/>
        <v>Pending</v>
      </c>
      <c r="H34" s="12"/>
      <c r="I34" s="12"/>
      <c r="J34" s="12"/>
    </row>
    <row r="35" spans="1:10" ht="55.95" customHeight="1">
      <c r="A35" s="4">
        <v>46323</v>
      </c>
      <c r="B35" s="10" t="s">
        <v>311</v>
      </c>
      <c r="C35" s="11"/>
      <c r="D35" s="10" t="s">
        <v>311</v>
      </c>
      <c r="E35" s="11"/>
      <c r="F35" s="9" t="str">
        <f t="shared" si="0"/>
        <v/>
      </c>
      <c r="G35" s="1" t="str">
        <f t="shared" si="1"/>
        <v>Pending</v>
      </c>
      <c r="H35" s="12"/>
      <c r="I35" s="12"/>
      <c r="J35" s="12"/>
    </row>
    <row r="36" spans="1:10" ht="55.95" customHeight="1">
      <c r="A36" s="4">
        <v>46324</v>
      </c>
      <c r="B36" s="10" t="s">
        <v>311</v>
      </c>
      <c r="C36" s="11"/>
      <c r="D36" s="10" t="s">
        <v>311</v>
      </c>
      <c r="E36" s="11"/>
      <c r="F36" s="9" t="str">
        <f t="shared" si="0"/>
        <v/>
      </c>
      <c r="G36" s="1" t="str">
        <f t="shared" si="1"/>
        <v>Pending</v>
      </c>
      <c r="H36" s="12"/>
      <c r="I36" s="12"/>
      <c r="J36" s="12"/>
    </row>
    <row r="37" spans="1:10" ht="55.95" customHeight="1">
      <c r="A37" s="4">
        <v>46325</v>
      </c>
      <c r="B37" s="10" t="s">
        <v>311</v>
      </c>
      <c r="C37" s="11"/>
      <c r="D37" s="10" t="s">
        <v>311</v>
      </c>
      <c r="E37" s="11"/>
      <c r="F37" s="9" t="str">
        <f t="shared" si="0"/>
        <v/>
      </c>
      <c r="G37" s="1" t="str">
        <f t="shared" si="1"/>
        <v>Pending</v>
      </c>
      <c r="H37" s="12"/>
      <c r="I37" s="12"/>
      <c r="J37" s="12"/>
    </row>
    <row r="38" spans="1:10" ht="55.95" customHeight="1">
      <c r="A38" s="4">
        <v>46326</v>
      </c>
      <c r="B38" s="10" t="s">
        <v>311</v>
      </c>
      <c r="C38" s="11"/>
      <c r="D38" s="10" t="s">
        <v>311</v>
      </c>
      <c r="E38" s="11"/>
      <c r="F38" s="9" t="str">
        <f t="shared" si="0"/>
        <v/>
      </c>
      <c r="G38" s="1" t="str">
        <f t="shared" si="1"/>
        <v>Pending</v>
      </c>
      <c r="H38" s="12"/>
      <c r="I38" s="12"/>
      <c r="J38" s="12"/>
    </row>
  </sheetData>
  <conditionalFormatting sqref="B8:B38">
    <cfRule type="containsText" dxfId="5" priority="1" operator="containsText" text="Done"/>
  </conditionalFormatting>
  <conditionalFormatting sqref="D8:D38">
    <cfRule type="containsText" dxfId="4" priority="2" operator="containsText" text="Done"/>
  </conditionalFormatting>
  <conditionalFormatting sqref="G8:G38">
    <cfRule type="containsText" dxfId="3" priority="3" operator="containsText" text="Complete"/>
  </conditionalFormatting>
  <dataValidations count="2">
    <dataValidation type="list" sqref="B8:B38 D8:D38" xr:uid="{00000000-0002-0000-0100-000000000000}">
      <formula1>"Not started,In progress,Done"</formula1>
    </dataValidation>
    <dataValidation type="whole" sqref="C8:C38 E8:E38" xr:uid="{00000000-0002-0000-0100-000001000000}">
      <formula1>0</formula1>
      <formula2>1440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A919B"/>
  </sheetPr>
  <dimension ref="A1:B33"/>
  <sheetViews>
    <sheetView showGridLines="0" workbookViewId="0"/>
  </sheetViews>
  <sheetFormatPr defaultRowHeight="13.8"/>
  <cols>
    <col min="1" max="1" width="24.3984375" customWidth="1"/>
    <col min="2" max="2" width="106.19921875" customWidth="1"/>
  </cols>
  <sheetData>
    <row r="1" spans="1:2">
      <c r="A1" s="1"/>
      <c r="B1" s="1"/>
    </row>
    <row r="2" spans="1:2" ht="28.05" customHeight="1">
      <c r="A2" s="2" t="s">
        <v>312</v>
      </c>
      <c r="B2" s="1"/>
    </row>
    <row r="3" spans="1:2">
      <c r="A3" s="3"/>
      <c r="B3" s="3"/>
    </row>
    <row r="4" spans="1:2">
      <c r="A4" s="1"/>
      <c r="B4" s="1"/>
    </row>
    <row r="5" spans="1:2" ht="31.95" customHeight="1">
      <c r="A5" s="6" t="s">
        <v>313</v>
      </c>
      <c r="B5" s="8" t="s">
        <v>314</v>
      </c>
    </row>
    <row r="6" spans="1:2" ht="46.95" customHeight="1">
      <c r="A6" s="5" t="s">
        <v>315</v>
      </c>
      <c r="B6" s="5" t="s">
        <v>316</v>
      </c>
    </row>
    <row r="7" spans="1:2" ht="46.95" customHeight="1">
      <c r="A7" s="13" t="s">
        <v>317</v>
      </c>
      <c r="B7" s="13" t="s">
        <v>318</v>
      </c>
    </row>
    <row r="8" spans="1:2" ht="46.95" customHeight="1">
      <c r="A8" s="5" t="s">
        <v>319</v>
      </c>
      <c r="B8" s="5" t="s">
        <v>320</v>
      </c>
    </row>
    <row r="9" spans="1:2" ht="63" customHeight="1">
      <c r="A9" s="13" t="s">
        <v>321</v>
      </c>
      <c r="B9" s="13" t="s">
        <v>322</v>
      </c>
    </row>
    <row r="10" spans="1:2" ht="46.95" customHeight="1">
      <c r="A10" s="5" t="s">
        <v>323</v>
      </c>
      <c r="B10" s="5" t="s">
        <v>324</v>
      </c>
    </row>
    <row r="11" spans="1:2" ht="63" customHeight="1">
      <c r="A11" s="13" t="s">
        <v>325</v>
      </c>
      <c r="B11" s="13" t="s">
        <v>326</v>
      </c>
    </row>
    <row r="12" spans="1:2" ht="46.95" customHeight="1">
      <c r="A12" s="5" t="s">
        <v>327</v>
      </c>
      <c r="B12" s="5" t="s">
        <v>328</v>
      </c>
    </row>
    <row r="13" spans="1:2" ht="37.049999999999997" customHeight="1">
      <c r="A13" s="13" t="s">
        <v>329</v>
      </c>
      <c r="B13" s="13" t="s">
        <v>330</v>
      </c>
    </row>
    <row r="14" spans="1:2" ht="46.95" customHeight="1">
      <c r="A14" s="5" t="s">
        <v>331</v>
      </c>
      <c r="B14" s="5" t="s">
        <v>332</v>
      </c>
    </row>
    <row r="15" spans="1:2" ht="63" customHeight="1">
      <c r="A15" s="13" t="s">
        <v>333</v>
      </c>
      <c r="B15" s="13" t="s">
        <v>334</v>
      </c>
    </row>
    <row r="16" spans="1:2" ht="46.95" customHeight="1">
      <c r="A16" s="5" t="s">
        <v>335</v>
      </c>
      <c r="B16" s="5" t="s">
        <v>336</v>
      </c>
    </row>
    <row r="17" spans="1:2" ht="46.95" customHeight="1">
      <c r="A17" s="13" t="s">
        <v>337</v>
      </c>
      <c r="B17" s="13" t="s">
        <v>338</v>
      </c>
    </row>
    <row r="18" spans="1:2" ht="63" customHeight="1">
      <c r="A18" s="5" t="s">
        <v>339</v>
      </c>
      <c r="B18" s="5" t="s">
        <v>340</v>
      </c>
    </row>
    <row r="19" spans="1:2" ht="46.95" customHeight="1">
      <c r="A19" s="13" t="s">
        <v>341</v>
      </c>
      <c r="B19" s="13" t="s">
        <v>342</v>
      </c>
    </row>
    <row r="20" spans="1:2" ht="37.049999999999997" customHeight="1">
      <c r="A20" s="5" t="s">
        <v>343</v>
      </c>
      <c r="B20" s="5" t="s">
        <v>344</v>
      </c>
    </row>
    <row r="21" spans="1:2" ht="37.049999999999997" customHeight="1">
      <c r="A21" s="13" t="s">
        <v>345</v>
      </c>
      <c r="B21" s="13" t="s">
        <v>346</v>
      </c>
    </row>
    <row r="22" spans="1:2" ht="37.049999999999997" customHeight="1">
      <c r="A22" s="5" t="s">
        <v>347</v>
      </c>
      <c r="B22" s="5" t="s">
        <v>348</v>
      </c>
    </row>
    <row r="23" spans="1:2" ht="37.049999999999997" customHeight="1">
      <c r="A23" s="13" t="s">
        <v>349</v>
      </c>
      <c r="B23" s="13" t="s">
        <v>350</v>
      </c>
    </row>
    <row r="24" spans="1:2" ht="37.049999999999997" customHeight="1">
      <c r="A24" s="5" t="s">
        <v>351</v>
      </c>
      <c r="B24" s="5" t="s">
        <v>352</v>
      </c>
    </row>
    <row r="25" spans="1:2" ht="37.049999999999997" customHeight="1">
      <c r="A25" s="13" t="s">
        <v>353</v>
      </c>
      <c r="B25" s="13" t="s">
        <v>354</v>
      </c>
    </row>
    <row r="26" spans="1:2" ht="37.049999999999997" customHeight="1">
      <c r="A26" s="5" t="s">
        <v>355</v>
      </c>
      <c r="B26" s="5" t="s">
        <v>356</v>
      </c>
    </row>
    <row r="27" spans="1:2" ht="37.049999999999997" customHeight="1">
      <c r="A27" s="13" t="s">
        <v>357</v>
      </c>
      <c r="B27" s="13" t="s">
        <v>358</v>
      </c>
    </row>
    <row r="28" spans="1:2" ht="37.049999999999997" customHeight="1">
      <c r="A28" s="5" t="s">
        <v>359</v>
      </c>
      <c r="B28" s="5" t="s">
        <v>360</v>
      </c>
    </row>
    <row r="29" spans="1:2" ht="37.049999999999997" customHeight="1">
      <c r="A29" s="13" t="s">
        <v>361</v>
      </c>
      <c r="B29" s="13" t="s">
        <v>362</v>
      </c>
    </row>
    <row r="30" spans="1:2" ht="37.049999999999997" customHeight="1">
      <c r="A30" s="5" t="s">
        <v>363</v>
      </c>
      <c r="B30" s="5" t="s">
        <v>364</v>
      </c>
    </row>
    <row r="31" spans="1:2" ht="46.95" customHeight="1">
      <c r="A31" s="13" t="s">
        <v>365</v>
      </c>
      <c r="B31" s="13" t="s">
        <v>366</v>
      </c>
    </row>
    <row r="32" spans="1:2" ht="46.95" customHeight="1">
      <c r="A32" s="5" t="s">
        <v>367</v>
      </c>
      <c r="B32" s="5" t="s">
        <v>368</v>
      </c>
    </row>
    <row r="33" spans="1:2" ht="46.95" customHeight="1">
      <c r="A33" s="13" t="s">
        <v>369</v>
      </c>
      <c r="B33" s="13" t="s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workbookViewId="0">
      <selection activeCell="F20" sqref="F20"/>
    </sheetView>
  </sheetViews>
  <sheetFormatPr defaultRowHeight="13.8"/>
  <cols>
    <col min="1" max="1" width="28" customWidth="1"/>
    <col min="2" max="2" width="24" customWidth="1"/>
    <col min="3" max="3" width="64" customWidth="1"/>
    <col min="4" max="6" width="16" customWidth="1"/>
    <col min="7" max="14" width="12" customWidth="1"/>
  </cols>
  <sheetData>
    <row r="1" spans="1:14" ht="24" customHeight="1">
      <c r="A1" s="39" t="s">
        <v>371</v>
      </c>
      <c r="B1" s="40"/>
      <c r="C1" s="40"/>
      <c r="D1" s="40"/>
      <c r="E1" s="40"/>
      <c r="F1" s="40"/>
      <c r="G1" s="40"/>
      <c r="H1" s="40"/>
      <c r="I1" s="32"/>
      <c r="J1" s="32"/>
      <c r="K1" s="32"/>
      <c r="L1" s="32"/>
      <c r="M1" s="32"/>
      <c r="N1" s="32"/>
    </row>
    <row r="2" spans="1:14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41.4">
      <c r="A3" s="35" t="s">
        <v>372</v>
      </c>
      <c r="B3" s="32" t="s">
        <v>373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>
      <c r="A4" s="35" t="s">
        <v>374</v>
      </c>
      <c r="B4" s="31">
        <v>46321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7.6">
      <c r="A5" s="35" t="s">
        <v>302</v>
      </c>
      <c r="B5" s="32" t="s">
        <v>375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>
      <c r="A6" s="35" t="s">
        <v>376</v>
      </c>
      <c r="B6" s="32">
        <v>3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ht="27.6">
      <c r="A7" s="35" t="s">
        <v>377</v>
      </c>
      <c r="B7" s="32" t="s">
        <v>378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41.4">
      <c r="A8" s="35" t="s">
        <v>379</v>
      </c>
      <c r="B8" s="32" t="s">
        <v>380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4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>
      <c r="A10" s="30" t="s">
        <v>381</v>
      </c>
      <c r="B10" s="30" t="s">
        <v>382</v>
      </c>
      <c r="C10" s="30" t="s">
        <v>383</v>
      </c>
      <c r="D10" s="30" t="s">
        <v>384</v>
      </c>
      <c r="E10" s="30" t="s">
        <v>385</v>
      </c>
      <c r="F10" s="30" t="s">
        <v>386</v>
      </c>
      <c r="G10" s="32"/>
      <c r="H10" s="32"/>
      <c r="I10" s="32"/>
      <c r="J10" s="32"/>
      <c r="K10" s="32"/>
      <c r="L10" s="32"/>
      <c r="M10" s="32"/>
      <c r="N10" s="32"/>
    </row>
    <row r="11" spans="1:14" ht="27.6">
      <c r="A11" s="32" t="s">
        <v>387</v>
      </c>
      <c r="B11" s="32" t="s">
        <v>388</v>
      </c>
      <c r="C11" s="32" t="s">
        <v>389</v>
      </c>
      <c r="D11" s="32">
        <f>COUNTIF('Project Checklist'!$C$3:$C$146,A11)</f>
        <v>40</v>
      </c>
      <c r="E11" s="32">
        <f>COUNTIFS('Project Checklist'!$C$3:$C$146,A11,'Project Checklist'!$H$3:$H$146,"Done")</f>
        <v>30</v>
      </c>
      <c r="F11" s="33">
        <f>IFERROR(E11/D11,0)</f>
        <v>0.75</v>
      </c>
      <c r="G11" s="32"/>
      <c r="H11" s="32"/>
      <c r="I11" s="32"/>
      <c r="J11" s="32"/>
      <c r="K11" s="32"/>
      <c r="L11" s="32"/>
      <c r="M11" s="32"/>
      <c r="N11" s="32"/>
    </row>
    <row r="12" spans="1:14" ht="27.6">
      <c r="A12" s="32" t="s">
        <v>390</v>
      </c>
      <c r="B12" s="32" t="s">
        <v>391</v>
      </c>
      <c r="C12" s="32" t="s">
        <v>392</v>
      </c>
      <c r="D12" s="32">
        <f>COUNTIF('Project Checklist'!$C$3:$C$146,A12)</f>
        <v>56</v>
      </c>
      <c r="E12" s="32">
        <f>COUNTIFS('Project Checklist'!$C$3:$C$146,A12,'Project Checklist'!$H$3:$H$146,"Done")</f>
        <v>0</v>
      </c>
      <c r="F12" s="33">
        <f>IFERROR(E12/D12,0)</f>
        <v>0</v>
      </c>
      <c r="G12" s="32"/>
      <c r="H12" s="32"/>
      <c r="I12" s="32"/>
      <c r="J12" s="32"/>
      <c r="K12" s="32"/>
      <c r="L12" s="32"/>
      <c r="M12" s="32"/>
      <c r="N12" s="32"/>
    </row>
    <row r="13" spans="1:14" ht="27.6">
      <c r="A13" s="32" t="s">
        <v>393</v>
      </c>
      <c r="B13" s="32" t="s">
        <v>394</v>
      </c>
      <c r="C13" s="32" t="s">
        <v>395</v>
      </c>
      <c r="D13" s="32">
        <f>COUNTIF('Project Checklist'!$C$3:$C$146,A13)</f>
        <v>48</v>
      </c>
      <c r="E13" s="32">
        <f>COUNTIFS('Project Checklist'!$C$3:$C$146,A13,'Project Checklist'!$H$3:$H$146,"Done")</f>
        <v>0</v>
      </c>
      <c r="F13" s="33">
        <f>IFERROR(E13/D13,0)</f>
        <v>0</v>
      </c>
      <c r="G13" s="32"/>
      <c r="H13" s="32"/>
      <c r="I13" s="32"/>
      <c r="J13" s="32"/>
      <c r="K13" s="32"/>
      <c r="L13" s="32"/>
      <c r="M13" s="32"/>
      <c r="N13" s="32"/>
    </row>
    <row r="14" spans="1: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14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</row>
    <row r="16" spans="1:14">
      <c r="A16" s="30" t="s">
        <v>396</v>
      </c>
      <c r="B16" s="30" t="s">
        <v>397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spans="1:14">
      <c r="A17" s="32" t="s">
        <v>398</v>
      </c>
      <c r="B17" s="32">
        <f>COUNTA('Project Checklist'!F3:F146)</f>
        <v>144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spans="1:14">
      <c r="A18" s="32" t="s">
        <v>399</v>
      </c>
      <c r="B18" s="32">
        <f>COUNTIF('Project Checklist'!H3:H146,"Done")</f>
        <v>30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spans="1:14">
      <c r="A19" s="32" t="s">
        <v>400</v>
      </c>
      <c r="B19" s="36">
        <f>SUM('Daily Journal'!L3:L38)/60</f>
        <v>3.5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14">
      <c r="A20" s="32" t="s">
        <v>401</v>
      </c>
      <c r="B20" s="32">
        <f>COUNTIF('Daily Journal'!L3:L38,"&gt;0")</f>
        <v>4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1:14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spans="1:14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spans="1:14">
      <c r="A23" s="41" t="s">
        <v>402</v>
      </c>
      <c r="B23" s="40"/>
      <c r="C23" s="40"/>
      <c r="D23" s="40"/>
      <c r="E23" s="40"/>
      <c r="F23" s="40"/>
      <c r="G23" s="40"/>
      <c r="H23" s="40"/>
      <c r="I23" s="32"/>
      <c r="J23" s="32"/>
      <c r="K23" s="32"/>
      <c r="L23" s="32"/>
      <c r="M23" s="32"/>
      <c r="N23" s="32"/>
    </row>
    <row r="24" spans="1:14" ht="55.2">
      <c r="A24" s="32" t="s">
        <v>403</v>
      </c>
      <c r="B24" s="32" t="s">
        <v>404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spans="1:14" ht="69">
      <c r="A25" s="32" t="s">
        <v>405</v>
      </c>
      <c r="B25" s="32" t="s">
        <v>406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1:14" ht="69">
      <c r="A26" s="32" t="s">
        <v>407</v>
      </c>
      <c r="B26" s="32" t="s">
        <v>408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69">
      <c r="A27" s="32" t="s">
        <v>409</v>
      </c>
      <c r="B27" s="32" t="s">
        <v>410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 ht="55.2">
      <c r="A28" s="32" t="s">
        <v>411</v>
      </c>
      <c r="B28" s="32" t="s">
        <v>412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14" ht="69">
      <c r="A29" s="32" t="s">
        <v>413</v>
      </c>
      <c r="B29" s="32" t="s">
        <v>414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</sheetData>
  <mergeCells count="2">
    <mergeCell ref="A1:H1"/>
    <mergeCell ref="A23:H23"/>
  </mergeCells>
  <conditionalFormatting sqref="F11:F13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{5272B63F-2C37-FA36-7ACF-74CB6114E45F}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72B63F-2C37-FA36-7ACF-74CB6114E45F}">
            <x14:dataBar>
              <x14:cfvo type="min"/>
              <x14:cfvo type="max"/>
              <x14:negativeFillColor auto="1"/>
              <x14:axisColor auto="1"/>
            </x14:dataBar>
          </x14:cfRule>
          <xm:sqref>F11:F13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6"/>
  <sheetViews>
    <sheetView topLeftCell="E27" zoomScale="85" zoomScaleNormal="85" workbookViewId="0">
      <selection activeCell="G40" sqref="G40"/>
    </sheetView>
  </sheetViews>
  <sheetFormatPr defaultRowHeight="13.8"/>
  <cols>
    <col min="1" max="1" width="10.3984375" bestFit="1" customWidth="1"/>
    <col min="2" max="2" width="4.296875" hidden="1" customWidth="1"/>
    <col min="3" max="3" width="30.09765625" customWidth="1"/>
    <col min="4" max="4" width="22" customWidth="1"/>
    <col min="5" max="5" width="34" customWidth="1"/>
    <col min="6" max="6" width="41.8984375" bestFit="1" customWidth="1"/>
    <col min="7" max="7" width="15" bestFit="1" customWidth="1"/>
    <col min="8" max="8" width="9.69921875" bestFit="1" customWidth="1"/>
    <col min="9" max="9" width="33.69921875" bestFit="1" customWidth="1"/>
    <col min="10" max="10" width="33.8984375" bestFit="1" customWidth="1"/>
    <col min="11" max="11" width="42" customWidth="1"/>
    <col min="12" max="12" width="27.796875" bestFit="1" customWidth="1"/>
    <col min="13" max="13" width="34" customWidth="1"/>
  </cols>
  <sheetData>
    <row r="1" spans="1:13" ht="24" customHeight="1">
      <c r="A1" s="37" t="s">
        <v>415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0" t="s">
        <v>3</v>
      </c>
      <c r="B2" s="30" t="s">
        <v>416</v>
      </c>
      <c r="C2" s="30" t="s">
        <v>381</v>
      </c>
      <c r="D2" s="30" t="s">
        <v>417</v>
      </c>
      <c r="E2" s="30" t="s">
        <v>418</v>
      </c>
      <c r="F2" s="30" t="s">
        <v>419</v>
      </c>
      <c r="G2" s="30" t="s">
        <v>420</v>
      </c>
      <c r="H2" s="30" t="s">
        <v>421</v>
      </c>
      <c r="I2" s="30" t="s">
        <v>422</v>
      </c>
      <c r="J2" s="30" t="s">
        <v>423</v>
      </c>
      <c r="K2" s="30" t="s">
        <v>424</v>
      </c>
      <c r="L2" s="30" t="s">
        <v>425</v>
      </c>
      <c r="M2" s="30" t="s">
        <v>426</v>
      </c>
    </row>
    <row r="3" spans="1:13" ht="41.4">
      <c r="A3" s="31">
        <v>46321</v>
      </c>
      <c r="B3" s="32">
        <v>1</v>
      </c>
      <c r="C3" s="32" t="s">
        <v>387</v>
      </c>
      <c r="D3" s="32" t="s">
        <v>427</v>
      </c>
      <c r="E3" s="32" t="s">
        <v>428</v>
      </c>
      <c r="F3" s="32" t="s">
        <v>429</v>
      </c>
      <c r="G3" s="32" t="s">
        <v>430</v>
      </c>
      <c r="H3" s="32" t="s">
        <v>306</v>
      </c>
      <c r="I3" s="32" t="s">
        <v>431</v>
      </c>
      <c r="J3" s="32" t="s">
        <v>432</v>
      </c>
      <c r="K3" s="32" t="s">
        <v>433</v>
      </c>
      <c r="L3" s="32" t="s">
        <v>434</v>
      </c>
      <c r="M3" s="32" t="s">
        <v>435</v>
      </c>
    </row>
    <row r="4" spans="1:13" ht="41.4">
      <c r="A4" s="31">
        <v>46321</v>
      </c>
      <c r="B4" s="32">
        <v>1</v>
      </c>
      <c r="C4" s="32" t="s">
        <v>387</v>
      </c>
      <c r="D4" s="32" t="s">
        <v>427</v>
      </c>
      <c r="E4" s="32" t="s">
        <v>428</v>
      </c>
      <c r="F4" s="32" t="s">
        <v>436</v>
      </c>
      <c r="G4" s="32" t="s">
        <v>437</v>
      </c>
      <c r="H4" s="32" t="s">
        <v>306</v>
      </c>
      <c r="I4" s="32" t="s">
        <v>431</v>
      </c>
      <c r="J4" s="32" t="s">
        <v>432</v>
      </c>
      <c r="K4" s="32" t="s">
        <v>433</v>
      </c>
      <c r="L4" s="32" t="s">
        <v>434</v>
      </c>
      <c r="M4" s="32" t="s">
        <v>435</v>
      </c>
    </row>
    <row r="5" spans="1:13" ht="41.4">
      <c r="A5" s="31">
        <v>46321</v>
      </c>
      <c r="B5" s="32">
        <v>1</v>
      </c>
      <c r="C5" s="32" t="s">
        <v>387</v>
      </c>
      <c r="D5" s="32" t="s">
        <v>427</v>
      </c>
      <c r="E5" s="32" t="s">
        <v>428</v>
      </c>
      <c r="F5" s="32" t="s">
        <v>438</v>
      </c>
      <c r="G5" s="32" t="s">
        <v>439</v>
      </c>
      <c r="H5" s="32" t="s">
        <v>306</v>
      </c>
      <c r="I5" s="32" t="s">
        <v>431</v>
      </c>
      <c r="J5" s="32" t="s">
        <v>432</v>
      </c>
      <c r="K5" s="32" t="s">
        <v>433</v>
      </c>
      <c r="L5" s="32" t="s">
        <v>434</v>
      </c>
      <c r="M5" s="32" t="s">
        <v>435</v>
      </c>
    </row>
    <row r="6" spans="1:13" ht="41.4">
      <c r="A6" s="31">
        <v>46321</v>
      </c>
      <c r="B6" s="32">
        <v>1</v>
      </c>
      <c r="C6" s="32" t="s">
        <v>387</v>
      </c>
      <c r="D6" s="32" t="s">
        <v>427</v>
      </c>
      <c r="E6" s="32" t="s">
        <v>428</v>
      </c>
      <c r="F6" s="32" t="s">
        <v>440</v>
      </c>
      <c r="G6" s="32" t="s">
        <v>441</v>
      </c>
      <c r="H6" s="32" t="s">
        <v>306</v>
      </c>
      <c r="I6" s="32" t="s">
        <v>431</v>
      </c>
      <c r="J6" s="32" t="s">
        <v>432</v>
      </c>
      <c r="K6" s="32" t="s">
        <v>433</v>
      </c>
      <c r="L6" s="32" t="s">
        <v>434</v>
      </c>
      <c r="M6" s="32" t="s">
        <v>435</v>
      </c>
    </row>
    <row r="7" spans="1:13" ht="27.6">
      <c r="A7" s="31">
        <v>46322</v>
      </c>
      <c r="B7" s="32">
        <v>2</v>
      </c>
      <c r="C7" s="32" t="s">
        <v>387</v>
      </c>
      <c r="D7" s="32" t="s">
        <v>442</v>
      </c>
      <c r="E7" s="32" t="s">
        <v>443</v>
      </c>
      <c r="F7" s="32" t="s">
        <v>444</v>
      </c>
      <c r="G7" s="32" t="s">
        <v>430</v>
      </c>
      <c r="H7" s="32" t="s">
        <v>306</v>
      </c>
      <c r="I7" s="32" t="s">
        <v>445</v>
      </c>
      <c r="J7" s="32" t="s">
        <v>446</v>
      </c>
      <c r="K7" s="32" t="s">
        <v>447</v>
      </c>
      <c r="L7" s="32" t="s">
        <v>448</v>
      </c>
      <c r="M7" s="32" t="s">
        <v>449</v>
      </c>
    </row>
    <row r="8" spans="1:13" ht="27.6">
      <c r="A8" s="31">
        <v>46322</v>
      </c>
      <c r="B8" s="32">
        <v>2</v>
      </c>
      <c r="C8" s="32" t="s">
        <v>387</v>
      </c>
      <c r="D8" s="32" t="s">
        <v>442</v>
      </c>
      <c r="E8" s="32" t="s">
        <v>443</v>
      </c>
      <c r="F8" s="32" t="s">
        <v>450</v>
      </c>
      <c r="G8" s="32" t="s">
        <v>437</v>
      </c>
      <c r="H8" s="32" t="s">
        <v>306</v>
      </c>
      <c r="I8" s="32" t="s">
        <v>445</v>
      </c>
      <c r="J8" s="32" t="s">
        <v>446</v>
      </c>
      <c r="K8" s="32" t="s">
        <v>447</v>
      </c>
      <c r="L8" s="32" t="s">
        <v>448</v>
      </c>
      <c r="M8" s="32" t="s">
        <v>449</v>
      </c>
    </row>
    <row r="9" spans="1:13" ht="27.6">
      <c r="A9" s="31">
        <v>46322</v>
      </c>
      <c r="B9" s="32">
        <v>2</v>
      </c>
      <c r="C9" s="32" t="s">
        <v>387</v>
      </c>
      <c r="D9" s="32" t="s">
        <v>442</v>
      </c>
      <c r="E9" s="32" t="s">
        <v>443</v>
      </c>
      <c r="F9" s="32" t="s">
        <v>451</v>
      </c>
      <c r="G9" s="32" t="s">
        <v>439</v>
      </c>
      <c r="H9" s="32" t="s">
        <v>306</v>
      </c>
      <c r="I9" s="32" t="s">
        <v>445</v>
      </c>
      <c r="J9" s="32" t="s">
        <v>446</v>
      </c>
      <c r="K9" s="32" t="s">
        <v>447</v>
      </c>
      <c r="L9" s="32" t="s">
        <v>448</v>
      </c>
      <c r="M9" s="32" t="s">
        <v>449</v>
      </c>
    </row>
    <row r="10" spans="1:13" ht="27.6">
      <c r="A10" s="31">
        <v>46322</v>
      </c>
      <c r="B10" s="32">
        <v>2</v>
      </c>
      <c r="C10" s="32" t="s">
        <v>387</v>
      </c>
      <c r="D10" s="32" t="s">
        <v>442</v>
      </c>
      <c r="E10" s="32" t="s">
        <v>443</v>
      </c>
      <c r="F10" s="32" t="s">
        <v>452</v>
      </c>
      <c r="G10" s="32" t="s">
        <v>441</v>
      </c>
      <c r="H10" s="32" t="s">
        <v>306</v>
      </c>
      <c r="I10" s="32" t="s">
        <v>445</v>
      </c>
      <c r="J10" s="32" t="s">
        <v>446</v>
      </c>
      <c r="K10" s="32" t="s">
        <v>447</v>
      </c>
      <c r="L10" s="32" t="s">
        <v>448</v>
      </c>
      <c r="M10" s="32" t="s">
        <v>449</v>
      </c>
    </row>
    <row r="11" spans="1:13" ht="27.6">
      <c r="A11" s="31">
        <v>46323</v>
      </c>
      <c r="B11" s="32">
        <v>3</v>
      </c>
      <c r="C11" s="32" t="s">
        <v>387</v>
      </c>
      <c r="D11" s="32" t="s">
        <v>453</v>
      </c>
      <c r="E11" s="32" t="s">
        <v>454</v>
      </c>
      <c r="F11" s="32" t="s">
        <v>455</v>
      </c>
      <c r="G11" s="32" t="s">
        <v>430</v>
      </c>
      <c r="H11" s="32" t="s">
        <v>306</v>
      </c>
      <c r="I11" s="32" t="s">
        <v>456</v>
      </c>
      <c r="J11" s="32" t="s">
        <v>457</v>
      </c>
      <c r="K11" s="32" t="s">
        <v>458</v>
      </c>
      <c r="L11" s="32" t="s">
        <v>459</v>
      </c>
      <c r="M11" s="32" t="s">
        <v>460</v>
      </c>
    </row>
    <row r="12" spans="1:13" ht="27.6">
      <c r="A12" s="31">
        <v>46323</v>
      </c>
      <c r="B12" s="32">
        <v>3</v>
      </c>
      <c r="C12" s="32" t="s">
        <v>387</v>
      </c>
      <c r="D12" s="32" t="s">
        <v>453</v>
      </c>
      <c r="E12" s="32" t="s">
        <v>454</v>
      </c>
      <c r="F12" s="32" t="s">
        <v>461</v>
      </c>
      <c r="G12" s="32" t="s">
        <v>437</v>
      </c>
      <c r="H12" s="32" t="s">
        <v>306</v>
      </c>
      <c r="I12" s="32" t="s">
        <v>456</v>
      </c>
      <c r="J12" s="32" t="s">
        <v>457</v>
      </c>
      <c r="K12" s="32" t="s">
        <v>458</v>
      </c>
      <c r="L12" s="32" t="s">
        <v>459</v>
      </c>
      <c r="M12" s="32" t="s">
        <v>460</v>
      </c>
    </row>
    <row r="13" spans="1:13" ht="27.6">
      <c r="A13" s="31">
        <v>46323</v>
      </c>
      <c r="B13" s="32">
        <v>3</v>
      </c>
      <c r="C13" s="32" t="s">
        <v>387</v>
      </c>
      <c r="D13" s="32" t="s">
        <v>453</v>
      </c>
      <c r="E13" s="32" t="s">
        <v>454</v>
      </c>
      <c r="F13" s="32" t="s">
        <v>462</v>
      </c>
      <c r="G13" s="32" t="s">
        <v>439</v>
      </c>
      <c r="H13" s="32" t="s">
        <v>306</v>
      </c>
      <c r="I13" s="32" t="s">
        <v>456</v>
      </c>
      <c r="J13" s="32" t="s">
        <v>457</v>
      </c>
      <c r="K13" s="32" t="s">
        <v>458</v>
      </c>
      <c r="L13" s="32" t="s">
        <v>459</v>
      </c>
      <c r="M13" s="32" t="s">
        <v>460</v>
      </c>
    </row>
    <row r="14" spans="1:13" ht="27.6">
      <c r="A14" s="31">
        <v>46323</v>
      </c>
      <c r="B14" s="32">
        <v>3</v>
      </c>
      <c r="C14" s="32" t="s">
        <v>387</v>
      </c>
      <c r="D14" s="32" t="s">
        <v>453</v>
      </c>
      <c r="E14" s="32" t="s">
        <v>454</v>
      </c>
      <c r="F14" s="32" t="s">
        <v>463</v>
      </c>
      <c r="G14" s="32" t="s">
        <v>441</v>
      </c>
      <c r="H14" s="32" t="s">
        <v>1077</v>
      </c>
      <c r="I14" s="32" t="s">
        <v>456</v>
      </c>
      <c r="J14" s="32" t="s">
        <v>457</v>
      </c>
      <c r="K14" s="32" t="s">
        <v>458</v>
      </c>
      <c r="L14" s="32" t="s">
        <v>459</v>
      </c>
      <c r="M14" s="32" t="s">
        <v>460</v>
      </c>
    </row>
    <row r="15" spans="1:13" ht="27.6">
      <c r="A15" s="31">
        <v>46324</v>
      </c>
      <c r="B15" s="32">
        <v>4</v>
      </c>
      <c r="C15" s="32" t="s">
        <v>387</v>
      </c>
      <c r="D15" s="32" t="s">
        <v>464</v>
      </c>
      <c r="E15" s="32" t="s">
        <v>465</v>
      </c>
      <c r="F15" s="32" t="s">
        <v>466</v>
      </c>
      <c r="G15" s="32" t="s">
        <v>430</v>
      </c>
      <c r="H15" s="32" t="s">
        <v>306</v>
      </c>
      <c r="I15" s="32" t="s">
        <v>467</v>
      </c>
      <c r="J15" s="32" t="s">
        <v>468</v>
      </c>
      <c r="K15" s="32" t="s">
        <v>469</v>
      </c>
      <c r="L15" s="32" t="s">
        <v>470</v>
      </c>
      <c r="M15" s="32" t="s">
        <v>471</v>
      </c>
    </row>
    <row r="16" spans="1:13" ht="27.6">
      <c r="A16" s="31">
        <v>46324</v>
      </c>
      <c r="B16" s="32">
        <v>4</v>
      </c>
      <c r="C16" s="32" t="s">
        <v>387</v>
      </c>
      <c r="D16" s="32" t="s">
        <v>464</v>
      </c>
      <c r="E16" s="32" t="s">
        <v>465</v>
      </c>
      <c r="F16" s="32" t="s">
        <v>472</v>
      </c>
      <c r="G16" s="32" t="s">
        <v>437</v>
      </c>
      <c r="H16" s="32" t="s">
        <v>306</v>
      </c>
      <c r="I16" s="32" t="s">
        <v>467</v>
      </c>
      <c r="J16" s="32" t="s">
        <v>468</v>
      </c>
      <c r="K16" s="32" t="s">
        <v>469</v>
      </c>
      <c r="L16" s="32" t="s">
        <v>470</v>
      </c>
      <c r="M16" s="32" t="s">
        <v>471</v>
      </c>
    </row>
    <row r="17" spans="1:13" ht="27.6">
      <c r="A17" s="31">
        <v>46324</v>
      </c>
      <c r="B17" s="32">
        <v>4</v>
      </c>
      <c r="C17" s="32" t="s">
        <v>387</v>
      </c>
      <c r="D17" s="32" t="s">
        <v>464</v>
      </c>
      <c r="E17" s="32" t="s">
        <v>465</v>
      </c>
      <c r="F17" s="32" t="s">
        <v>473</v>
      </c>
      <c r="G17" s="32" t="s">
        <v>439</v>
      </c>
      <c r="H17" s="32" t="s">
        <v>306</v>
      </c>
      <c r="I17" s="32" t="s">
        <v>467</v>
      </c>
      <c r="J17" s="32" t="s">
        <v>468</v>
      </c>
      <c r="K17" s="32" t="s">
        <v>469</v>
      </c>
      <c r="L17" s="32" t="s">
        <v>470</v>
      </c>
      <c r="M17" s="32" t="s">
        <v>471</v>
      </c>
    </row>
    <row r="18" spans="1:13" ht="27.6">
      <c r="A18" s="31">
        <v>46324</v>
      </c>
      <c r="B18" s="32">
        <v>4</v>
      </c>
      <c r="C18" s="32" t="s">
        <v>387</v>
      </c>
      <c r="D18" s="32" t="s">
        <v>464</v>
      </c>
      <c r="E18" s="32" t="s">
        <v>465</v>
      </c>
      <c r="F18" s="32" t="s">
        <v>474</v>
      </c>
      <c r="G18" s="32" t="s">
        <v>441</v>
      </c>
      <c r="H18" s="32" t="s">
        <v>306</v>
      </c>
      <c r="I18" s="32" t="s">
        <v>467</v>
      </c>
      <c r="J18" s="32" t="s">
        <v>468</v>
      </c>
      <c r="K18" s="32" t="s">
        <v>469</v>
      </c>
      <c r="L18" s="32" t="s">
        <v>470</v>
      </c>
      <c r="M18" s="32" t="s">
        <v>471</v>
      </c>
    </row>
    <row r="19" spans="1:13" ht="27.6">
      <c r="A19" s="31">
        <v>46325</v>
      </c>
      <c r="B19" s="32">
        <v>5</v>
      </c>
      <c r="C19" s="32" t="s">
        <v>387</v>
      </c>
      <c r="D19" s="32" t="s">
        <v>475</v>
      </c>
      <c r="E19" s="32" t="s">
        <v>476</v>
      </c>
      <c r="F19" s="32" t="s">
        <v>477</v>
      </c>
      <c r="G19" s="32" t="s">
        <v>430</v>
      </c>
      <c r="H19" s="32" t="s">
        <v>306</v>
      </c>
      <c r="I19" s="32" t="s">
        <v>478</v>
      </c>
      <c r="J19" s="32" t="s">
        <v>479</v>
      </c>
      <c r="K19" s="32" t="s">
        <v>480</v>
      </c>
      <c r="L19" s="32" t="s">
        <v>481</v>
      </c>
      <c r="M19" s="32" t="s">
        <v>482</v>
      </c>
    </row>
    <row r="20" spans="1:13" ht="27.6">
      <c r="A20" s="31">
        <v>46325</v>
      </c>
      <c r="B20" s="32">
        <v>5</v>
      </c>
      <c r="C20" s="32" t="s">
        <v>387</v>
      </c>
      <c r="D20" s="32" t="s">
        <v>475</v>
      </c>
      <c r="E20" s="32" t="s">
        <v>476</v>
      </c>
      <c r="F20" s="32" t="s">
        <v>483</v>
      </c>
      <c r="G20" s="32" t="s">
        <v>437</v>
      </c>
      <c r="H20" s="32" t="s">
        <v>306</v>
      </c>
      <c r="I20" s="32" t="s">
        <v>478</v>
      </c>
      <c r="J20" s="32" t="s">
        <v>479</v>
      </c>
      <c r="K20" s="32" t="s">
        <v>480</v>
      </c>
      <c r="L20" s="32" t="s">
        <v>481</v>
      </c>
      <c r="M20" s="32" t="s">
        <v>482</v>
      </c>
    </row>
    <row r="21" spans="1:13" ht="27.6">
      <c r="A21" s="31">
        <v>46325</v>
      </c>
      <c r="B21" s="32">
        <v>5</v>
      </c>
      <c r="C21" s="32" t="s">
        <v>387</v>
      </c>
      <c r="D21" s="32" t="s">
        <v>475</v>
      </c>
      <c r="E21" s="32" t="s">
        <v>476</v>
      </c>
      <c r="F21" s="32" t="s">
        <v>484</v>
      </c>
      <c r="G21" s="32" t="s">
        <v>439</v>
      </c>
      <c r="H21" s="32" t="s">
        <v>306</v>
      </c>
      <c r="I21" s="32" t="s">
        <v>478</v>
      </c>
      <c r="J21" s="32" t="s">
        <v>479</v>
      </c>
      <c r="K21" s="32" t="s">
        <v>480</v>
      </c>
      <c r="L21" s="32" t="s">
        <v>481</v>
      </c>
      <c r="M21" s="32" t="s">
        <v>482</v>
      </c>
    </row>
    <row r="22" spans="1:13" ht="27.6">
      <c r="A22" s="31">
        <v>46325</v>
      </c>
      <c r="B22" s="32">
        <v>5</v>
      </c>
      <c r="C22" s="32" t="s">
        <v>387</v>
      </c>
      <c r="D22" s="32" t="s">
        <v>475</v>
      </c>
      <c r="E22" s="32" t="s">
        <v>476</v>
      </c>
      <c r="F22" s="32" t="s">
        <v>485</v>
      </c>
      <c r="G22" s="32" t="s">
        <v>441</v>
      </c>
      <c r="H22" s="32" t="s">
        <v>306</v>
      </c>
      <c r="I22" s="32" t="s">
        <v>478</v>
      </c>
      <c r="J22" s="32" t="s">
        <v>479</v>
      </c>
      <c r="K22" s="32" t="s">
        <v>480</v>
      </c>
      <c r="L22" s="32" t="s">
        <v>481</v>
      </c>
      <c r="M22" s="32" t="s">
        <v>482</v>
      </c>
    </row>
    <row r="23" spans="1:13" ht="41.4">
      <c r="A23" s="31">
        <v>46326</v>
      </c>
      <c r="B23" s="32">
        <v>6</v>
      </c>
      <c r="C23" s="32" t="s">
        <v>387</v>
      </c>
      <c r="D23" s="32" t="s">
        <v>486</v>
      </c>
      <c r="E23" s="32" t="s">
        <v>487</v>
      </c>
      <c r="F23" s="32" t="s">
        <v>488</v>
      </c>
      <c r="G23" s="32" t="s">
        <v>430</v>
      </c>
      <c r="H23" s="32" t="s">
        <v>306</v>
      </c>
      <c r="I23" s="32" t="s">
        <v>489</v>
      </c>
      <c r="J23" s="32" t="s">
        <v>490</v>
      </c>
      <c r="K23" s="32" t="s">
        <v>491</v>
      </c>
      <c r="L23" s="32" t="s">
        <v>492</v>
      </c>
      <c r="M23" s="32" t="s">
        <v>493</v>
      </c>
    </row>
    <row r="24" spans="1:13" ht="41.4">
      <c r="A24" s="31">
        <v>46326</v>
      </c>
      <c r="B24" s="32">
        <v>6</v>
      </c>
      <c r="C24" s="32" t="s">
        <v>387</v>
      </c>
      <c r="D24" s="32" t="s">
        <v>486</v>
      </c>
      <c r="E24" s="32" t="s">
        <v>487</v>
      </c>
      <c r="F24" s="32" t="s">
        <v>494</v>
      </c>
      <c r="G24" s="32" t="s">
        <v>437</v>
      </c>
      <c r="H24" s="32" t="s">
        <v>306</v>
      </c>
      <c r="I24" s="32" t="s">
        <v>489</v>
      </c>
      <c r="J24" s="32" t="s">
        <v>490</v>
      </c>
      <c r="K24" s="32" t="s">
        <v>491</v>
      </c>
      <c r="L24" s="32" t="s">
        <v>492</v>
      </c>
      <c r="M24" s="32" t="s">
        <v>493</v>
      </c>
    </row>
    <row r="25" spans="1:13" ht="41.4">
      <c r="A25" s="31">
        <v>46326</v>
      </c>
      <c r="B25" s="32">
        <v>6</v>
      </c>
      <c r="C25" s="32" t="s">
        <v>387</v>
      </c>
      <c r="D25" s="32" t="s">
        <v>486</v>
      </c>
      <c r="E25" s="32" t="s">
        <v>487</v>
      </c>
      <c r="F25" s="32" t="s">
        <v>495</v>
      </c>
      <c r="G25" s="32" t="s">
        <v>439</v>
      </c>
      <c r="H25" s="32" t="s">
        <v>306</v>
      </c>
      <c r="I25" s="32" t="s">
        <v>489</v>
      </c>
      <c r="J25" s="32" t="s">
        <v>490</v>
      </c>
      <c r="K25" s="32" t="s">
        <v>491</v>
      </c>
      <c r="L25" s="32" t="s">
        <v>492</v>
      </c>
      <c r="M25" s="32" t="s">
        <v>493</v>
      </c>
    </row>
    <row r="26" spans="1:13" ht="41.4">
      <c r="A26" s="31">
        <v>46326</v>
      </c>
      <c r="B26" s="32">
        <v>6</v>
      </c>
      <c r="C26" s="32" t="s">
        <v>387</v>
      </c>
      <c r="D26" s="32" t="s">
        <v>486</v>
      </c>
      <c r="E26" s="32" t="s">
        <v>487</v>
      </c>
      <c r="F26" s="32" t="s">
        <v>496</v>
      </c>
      <c r="G26" s="32" t="s">
        <v>441</v>
      </c>
      <c r="H26" s="32" t="s">
        <v>306</v>
      </c>
      <c r="I26" s="32" t="s">
        <v>489</v>
      </c>
      <c r="J26" s="32" t="s">
        <v>490</v>
      </c>
      <c r="K26" s="32" t="s">
        <v>491</v>
      </c>
      <c r="L26" s="32" t="s">
        <v>492</v>
      </c>
      <c r="M26" s="32" t="s">
        <v>493</v>
      </c>
    </row>
    <row r="27" spans="1:13" ht="41.4">
      <c r="A27" s="31">
        <v>46327</v>
      </c>
      <c r="B27" s="32">
        <v>7</v>
      </c>
      <c r="C27" s="32" t="s">
        <v>387</v>
      </c>
      <c r="D27" s="32" t="s">
        <v>497</v>
      </c>
      <c r="E27" s="32" t="s">
        <v>498</v>
      </c>
      <c r="F27" s="32" t="s">
        <v>499</v>
      </c>
      <c r="G27" s="32" t="s">
        <v>430</v>
      </c>
      <c r="H27" s="32" t="s">
        <v>306</v>
      </c>
      <c r="I27" s="32" t="s">
        <v>500</v>
      </c>
      <c r="J27" s="32" t="s">
        <v>501</v>
      </c>
      <c r="K27" s="32" t="s">
        <v>502</v>
      </c>
      <c r="L27" s="32" t="s">
        <v>503</v>
      </c>
      <c r="M27" s="32" t="s">
        <v>504</v>
      </c>
    </row>
    <row r="28" spans="1:13" ht="41.4">
      <c r="A28" s="31">
        <v>46327</v>
      </c>
      <c r="B28" s="32">
        <v>7</v>
      </c>
      <c r="C28" s="32" t="s">
        <v>387</v>
      </c>
      <c r="D28" s="32" t="s">
        <v>497</v>
      </c>
      <c r="E28" s="32" t="s">
        <v>498</v>
      </c>
      <c r="F28" s="32" t="s">
        <v>505</v>
      </c>
      <c r="G28" s="32" t="s">
        <v>437</v>
      </c>
      <c r="H28" s="32" t="s">
        <v>306</v>
      </c>
      <c r="I28" s="32" t="s">
        <v>500</v>
      </c>
      <c r="J28" s="32" t="s">
        <v>501</v>
      </c>
      <c r="K28" s="32" t="s">
        <v>502</v>
      </c>
      <c r="L28" s="32" t="s">
        <v>503</v>
      </c>
      <c r="M28" s="32" t="s">
        <v>504</v>
      </c>
    </row>
    <row r="29" spans="1:13" ht="41.4">
      <c r="A29" s="31">
        <v>46327</v>
      </c>
      <c r="B29" s="32">
        <v>7</v>
      </c>
      <c r="C29" s="32" t="s">
        <v>387</v>
      </c>
      <c r="D29" s="32" t="s">
        <v>497</v>
      </c>
      <c r="E29" s="32" t="s">
        <v>498</v>
      </c>
      <c r="F29" s="32" t="s">
        <v>506</v>
      </c>
      <c r="G29" s="32" t="s">
        <v>439</v>
      </c>
      <c r="H29" s="32" t="s">
        <v>306</v>
      </c>
      <c r="I29" s="32" t="s">
        <v>500</v>
      </c>
      <c r="J29" s="32" t="s">
        <v>501</v>
      </c>
      <c r="K29" s="32" t="s">
        <v>502</v>
      </c>
      <c r="L29" s="32" t="s">
        <v>503</v>
      </c>
      <c r="M29" s="32" t="s">
        <v>504</v>
      </c>
    </row>
    <row r="30" spans="1:13" ht="41.4">
      <c r="A30" s="31">
        <v>46327</v>
      </c>
      <c r="B30" s="32">
        <v>7</v>
      </c>
      <c r="C30" s="32" t="s">
        <v>387</v>
      </c>
      <c r="D30" s="32" t="s">
        <v>497</v>
      </c>
      <c r="E30" s="32" t="s">
        <v>498</v>
      </c>
      <c r="F30" s="32" t="s">
        <v>507</v>
      </c>
      <c r="G30" s="32" t="s">
        <v>441</v>
      </c>
      <c r="H30" s="32" t="s">
        <v>1077</v>
      </c>
      <c r="I30" s="32" t="s">
        <v>500</v>
      </c>
      <c r="J30" s="32" t="s">
        <v>501</v>
      </c>
      <c r="K30" s="32" t="s">
        <v>502</v>
      </c>
      <c r="L30" s="32" t="s">
        <v>503</v>
      </c>
      <c r="M30" s="32" t="s">
        <v>504</v>
      </c>
    </row>
    <row r="31" spans="1:13" ht="27.6">
      <c r="A31" s="31">
        <v>46328</v>
      </c>
      <c r="B31" s="32">
        <v>8</v>
      </c>
      <c r="C31" s="32" t="s">
        <v>387</v>
      </c>
      <c r="D31" s="32" t="s">
        <v>508</v>
      </c>
      <c r="E31" s="32" t="s">
        <v>509</v>
      </c>
      <c r="F31" s="32" t="s">
        <v>510</v>
      </c>
      <c r="G31" s="32" t="s">
        <v>430</v>
      </c>
      <c r="H31" s="32" t="s">
        <v>306</v>
      </c>
      <c r="I31" s="32" t="s">
        <v>511</v>
      </c>
      <c r="J31" s="32" t="s">
        <v>512</v>
      </c>
      <c r="K31" s="32" t="s">
        <v>513</v>
      </c>
      <c r="L31" s="32" t="s">
        <v>514</v>
      </c>
      <c r="M31" s="32" t="s">
        <v>515</v>
      </c>
    </row>
    <row r="32" spans="1:13" ht="27.6">
      <c r="A32" s="31">
        <v>46328</v>
      </c>
      <c r="B32" s="32">
        <v>8</v>
      </c>
      <c r="C32" s="32" t="s">
        <v>387</v>
      </c>
      <c r="D32" s="32" t="s">
        <v>508</v>
      </c>
      <c r="E32" s="32" t="s">
        <v>509</v>
      </c>
      <c r="F32" s="32" t="s">
        <v>516</v>
      </c>
      <c r="G32" s="32" t="s">
        <v>437</v>
      </c>
      <c r="H32" s="32" t="s">
        <v>306</v>
      </c>
      <c r="I32" s="32" t="s">
        <v>511</v>
      </c>
      <c r="J32" s="32" t="s">
        <v>512</v>
      </c>
      <c r="K32" s="32" t="s">
        <v>513</v>
      </c>
      <c r="L32" s="32" t="s">
        <v>514</v>
      </c>
      <c r="M32" s="32" t="s">
        <v>515</v>
      </c>
    </row>
    <row r="33" spans="1:13" ht="27.6">
      <c r="A33" s="31">
        <v>46328</v>
      </c>
      <c r="B33" s="32">
        <v>8</v>
      </c>
      <c r="C33" s="32" t="s">
        <v>387</v>
      </c>
      <c r="D33" s="32" t="s">
        <v>508</v>
      </c>
      <c r="E33" s="32" t="s">
        <v>509</v>
      </c>
      <c r="F33" s="32" t="s">
        <v>517</v>
      </c>
      <c r="G33" s="32" t="s">
        <v>439</v>
      </c>
      <c r="H33" s="32" t="s">
        <v>306</v>
      </c>
      <c r="I33" s="32" t="s">
        <v>511</v>
      </c>
      <c r="J33" s="32" t="s">
        <v>512</v>
      </c>
      <c r="K33" s="32" t="s">
        <v>513</v>
      </c>
      <c r="L33" s="32" t="s">
        <v>514</v>
      </c>
      <c r="M33" s="32" t="s">
        <v>515</v>
      </c>
    </row>
    <row r="34" spans="1:13" ht="27.6">
      <c r="A34" s="31">
        <v>46328</v>
      </c>
      <c r="B34" s="32">
        <v>8</v>
      </c>
      <c r="C34" s="32" t="s">
        <v>387</v>
      </c>
      <c r="D34" s="32" t="s">
        <v>508</v>
      </c>
      <c r="E34" s="32" t="s">
        <v>509</v>
      </c>
      <c r="F34" s="32" t="s">
        <v>518</v>
      </c>
      <c r="G34" s="32" t="s">
        <v>441</v>
      </c>
      <c r="H34" s="32" t="s">
        <v>306</v>
      </c>
      <c r="I34" s="32" t="s">
        <v>511</v>
      </c>
      <c r="J34" s="32" t="s">
        <v>512</v>
      </c>
      <c r="K34" s="32" t="s">
        <v>513</v>
      </c>
      <c r="L34" s="32" t="s">
        <v>514</v>
      </c>
      <c r="M34" s="32" t="s">
        <v>515</v>
      </c>
    </row>
    <row r="35" spans="1:13" ht="41.4">
      <c r="A35" s="31">
        <v>46329</v>
      </c>
      <c r="B35" s="32">
        <v>9</v>
      </c>
      <c r="C35" s="32" t="s">
        <v>387</v>
      </c>
      <c r="D35" s="32" t="s">
        <v>519</v>
      </c>
      <c r="E35" s="32" t="s">
        <v>520</v>
      </c>
      <c r="F35" s="32" t="s">
        <v>521</v>
      </c>
      <c r="G35" s="32" t="s">
        <v>430</v>
      </c>
      <c r="H35" s="32" t="s">
        <v>1086</v>
      </c>
      <c r="I35" s="32" t="s">
        <v>522</v>
      </c>
      <c r="J35" s="32" t="s">
        <v>523</v>
      </c>
      <c r="K35" s="32" t="s">
        <v>524</v>
      </c>
      <c r="L35" s="32" t="s">
        <v>525</v>
      </c>
      <c r="M35" s="32" t="s">
        <v>526</v>
      </c>
    </row>
    <row r="36" spans="1:13" ht="41.4">
      <c r="A36" s="31">
        <v>46329</v>
      </c>
      <c r="B36" s="32">
        <v>9</v>
      </c>
      <c r="C36" s="32" t="s">
        <v>387</v>
      </c>
      <c r="D36" s="32" t="s">
        <v>519</v>
      </c>
      <c r="E36" s="32" t="s">
        <v>520</v>
      </c>
      <c r="F36" s="32" t="s">
        <v>527</v>
      </c>
      <c r="G36" s="32" t="s">
        <v>437</v>
      </c>
      <c r="H36" s="32" t="s">
        <v>1086</v>
      </c>
      <c r="I36" s="32" t="s">
        <v>522</v>
      </c>
      <c r="J36" s="32" t="s">
        <v>523</v>
      </c>
      <c r="K36" s="32" t="s">
        <v>524</v>
      </c>
      <c r="L36" s="32" t="s">
        <v>525</v>
      </c>
      <c r="M36" s="32" t="s">
        <v>526</v>
      </c>
    </row>
    <row r="37" spans="1:13" ht="41.4">
      <c r="A37" s="31">
        <v>46329</v>
      </c>
      <c r="B37" s="32">
        <v>9</v>
      </c>
      <c r="C37" s="32" t="s">
        <v>387</v>
      </c>
      <c r="D37" s="32" t="s">
        <v>519</v>
      </c>
      <c r="E37" s="32" t="s">
        <v>520</v>
      </c>
      <c r="F37" s="32" t="s">
        <v>528</v>
      </c>
      <c r="G37" s="32" t="s">
        <v>439</v>
      </c>
      <c r="H37" s="32" t="s">
        <v>1086</v>
      </c>
      <c r="I37" s="32" t="s">
        <v>522</v>
      </c>
      <c r="J37" s="32" t="s">
        <v>523</v>
      </c>
      <c r="K37" s="32" t="s">
        <v>524</v>
      </c>
      <c r="L37" s="32" t="s">
        <v>525</v>
      </c>
      <c r="M37" s="32" t="s">
        <v>526</v>
      </c>
    </row>
    <row r="38" spans="1:13" ht="41.4">
      <c r="A38" s="31">
        <v>46329</v>
      </c>
      <c r="B38" s="32">
        <v>9</v>
      </c>
      <c r="C38" s="32" t="s">
        <v>387</v>
      </c>
      <c r="D38" s="32" t="s">
        <v>519</v>
      </c>
      <c r="E38" s="32" t="s">
        <v>520</v>
      </c>
      <c r="F38" s="32" t="s">
        <v>529</v>
      </c>
      <c r="G38" s="32" t="s">
        <v>441</v>
      </c>
      <c r="H38" s="32" t="s">
        <v>311</v>
      </c>
      <c r="I38" s="32" t="s">
        <v>522</v>
      </c>
      <c r="J38" s="32" t="s">
        <v>523</v>
      </c>
      <c r="K38" s="32" t="s">
        <v>524</v>
      </c>
      <c r="L38" s="32" t="s">
        <v>525</v>
      </c>
      <c r="M38" s="32" t="s">
        <v>526</v>
      </c>
    </row>
    <row r="39" spans="1:13" ht="27.6">
      <c r="A39" s="31">
        <v>46330</v>
      </c>
      <c r="B39" s="32">
        <v>10</v>
      </c>
      <c r="C39" s="32" t="s">
        <v>387</v>
      </c>
      <c r="D39" s="32" t="s">
        <v>530</v>
      </c>
      <c r="E39" s="32" t="s">
        <v>531</v>
      </c>
      <c r="F39" s="32" t="s">
        <v>532</v>
      </c>
      <c r="G39" s="32" t="s">
        <v>430</v>
      </c>
      <c r="H39" s="32" t="s">
        <v>311</v>
      </c>
      <c r="I39" s="32" t="s">
        <v>533</v>
      </c>
      <c r="J39" s="32" t="s">
        <v>534</v>
      </c>
      <c r="K39" s="32" t="s">
        <v>535</v>
      </c>
      <c r="L39" s="32" t="s">
        <v>536</v>
      </c>
      <c r="M39" s="32" t="s">
        <v>537</v>
      </c>
    </row>
    <row r="40" spans="1:13" ht="27.6">
      <c r="A40" s="31">
        <v>46330</v>
      </c>
      <c r="B40" s="32">
        <v>10</v>
      </c>
      <c r="C40" s="32" t="s">
        <v>387</v>
      </c>
      <c r="D40" s="32" t="s">
        <v>530</v>
      </c>
      <c r="E40" s="32" t="s">
        <v>531</v>
      </c>
      <c r="F40" s="32" t="s">
        <v>538</v>
      </c>
      <c r="G40" s="32" t="s">
        <v>437</v>
      </c>
      <c r="H40" s="32" t="s">
        <v>311</v>
      </c>
      <c r="I40" s="32" t="s">
        <v>533</v>
      </c>
      <c r="J40" s="32" t="s">
        <v>534</v>
      </c>
      <c r="K40" s="32" t="s">
        <v>535</v>
      </c>
      <c r="L40" s="32" t="s">
        <v>536</v>
      </c>
      <c r="M40" s="32" t="s">
        <v>537</v>
      </c>
    </row>
    <row r="41" spans="1:13" ht="27.6">
      <c r="A41" s="31">
        <v>46330</v>
      </c>
      <c r="B41" s="32">
        <v>10</v>
      </c>
      <c r="C41" s="32" t="s">
        <v>387</v>
      </c>
      <c r="D41" s="32" t="s">
        <v>530</v>
      </c>
      <c r="E41" s="32" t="s">
        <v>531</v>
      </c>
      <c r="F41" s="32" t="s">
        <v>539</v>
      </c>
      <c r="G41" s="32" t="s">
        <v>439</v>
      </c>
      <c r="H41" s="32" t="s">
        <v>311</v>
      </c>
      <c r="I41" s="32" t="s">
        <v>533</v>
      </c>
      <c r="J41" s="32" t="s">
        <v>534</v>
      </c>
      <c r="K41" s="32" t="s">
        <v>535</v>
      </c>
      <c r="L41" s="32" t="s">
        <v>536</v>
      </c>
      <c r="M41" s="32" t="s">
        <v>537</v>
      </c>
    </row>
    <row r="42" spans="1:13" ht="27.6">
      <c r="A42" s="31">
        <v>46330</v>
      </c>
      <c r="B42" s="32">
        <v>10</v>
      </c>
      <c r="C42" s="32" t="s">
        <v>387</v>
      </c>
      <c r="D42" s="32" t="s">
        <v>530</v>
      </c>
      <c r="E42" s="32" t="s">
        <v>531</v>
      </c>
      <c r="F42" s="32" t="s">
        <v>540</v>
      </c>
      <c r="G42" s="32" t="s">
        <v>441</v>
      </c>
      <c r="H42" s="32" t="s">
        <v>311</v>
      </c>
      <c r="I42" s="32" t="s">
        <v>533</v>
      </c>
      <c r="J42" s="32" t="s">
        <v>534</v>
      </c>
      <c r="K42" s="32" t="s">
        <v>535</v>
      </c>
      <c r="L42" s="32" t="s">
        <v>536</v>
      </c>
      <c r="M42" s="32" t="s">
        <v>537</v>
      </c>
    </row>
    <row r="43" spans="1:13" ht="27.6">
      <c r="A43" s="31">
        <v>46331</v>
      </c>
      <c r="B43" s="32">
        <v>11</v>
      </c>
      <c r="C43" s="32" t="s">
        <v>390</v>
      </c>
      <c r="D43" s="32" t="s">
        <v>541</v>
      </c>
      <c r="E43" s="32" t="s">
        <v>542</v>
      </c>
      <c r="F43" s="32" t="s">
        <v>543</v>
      </c>
      <c r="G43" s="32" t="s">
        <v>430</v>
      </c>
      <c r="H43" s="32" t="s">
        <v>311</v>
      </c>
      <c r="I43" s="32" t="s">
        <v>544</v>
      </c>
      <c r="J43" s="32" t="s">
        <v>545</v>
      </c>
      <c r="K43" s="32" t="s">
        <v>546</v>
      </c>
      <c r="L43" s="32" t="s">
        <v>547</v>
      </c>
      <c r="M43" s="32" t="s">
        <v>548</v>
      </c>
    </row>
    <row r="44" spans="1:13" ht="27.6">
      <c r="A44" s="31">
        <v>46331</v>
      </c>
      <c r="B44" s="32">
        <v>11</v>
      </c>
      <c r="C44" s="32" t="s">
        <v>390</v>
      </c>
      <c r="D44" s="32" t="s">
        <v>541</v>
      </c>
      <c r="E44" s="32" t="s">
        <v>542</v>
      </c>
      <c r="F44" s="32" t="s">
        <v>549</v>
      </c>
      <c r="G44" s="32" t="s">
        <v>437</v>
      </c>
      <c r="H44" s="32" t="s">
        <v>311</v>
      </c>
      <c r="I44" s="32" t="s">
        <v>544</v>
      </c>
      <c r="J44" s="32" t="s">
        <v>545</v>
      </c>
      <c r="K44" s="32" t="s">
        <v>546</v>
      </c>
      <c r="L44" s="32" t="s">
        <v>547</v>
      </c>
      <c r="M44" s="32" t="s">
        <v>548</v>
      </c>
    </row>
    <row r="45" spans="1:13" ht="27.6">
      <c r="A45" s="31">
        <v>46331</v>
      </c>
      <c r="B45" s="32">
        <v>11</v>
      </c>
      <c r="C45" s="32" t="s">
        <v>390</v>
      </c>
      <c r="D45" s="32" t="s">
        <v>541</v>
      </c>
      <c r="E45" s="32" t="s">
        <v>542</v>
      </c>
      <c r="F45" s="32" t="s">
        <v>550</v>
      </c>
      <c r="G45" s="32" t="s">
        <v>439</v>
      </c>
      <c r="H45" s="32" t="s">
        <v>311</v>
      </c>
      <c r="I45" s="32" t="s">
        <v>544</v>
      </c>
      <c r="J45" s="32" t="s">
        <v>545</v>
      </c>
      <c r="K45" s="32" t="s">
        <v>546</v>
      </c>
      <c r="L45" s="32" t="s">
        <v>547</v>
      </c>
      <c r="M45" s="32" t="s">
        <v>548</v>
      </c>
    </row>
    <row r="46" spans="1:13" ht="27.6">
      <c r="A46" s="31">
        <v>46331</v>
      </c>
      <c r="B46" s="32">
        <v>11</v>
      </c>
      <c r="C46" s="32" t="s">
        <v>390</v>
      </c>
      <c r="D46" s="32" t="s">
        <v>541</v>
      </c>
      <c r="E46" s="32" t="s">
        <v>542</v>
      </c>
      <c r="F46" s="32" t="s">
        <v>551</v>
      </c>
      <c r="G46" s="32" t="s">
        <v>441</v>
      </c>
      <c r="H46" s="32" t="s">
        <v>311</v>
      </c>
      <c r="I46" s="32" t="s">
        <v>544</v>
      </c>
      <c r="J46" s="32" t="s">
        <v>545</v>
      </c>
      <c r="K46" s="32" t="s">
        <v>546</v>
      </c>
      <c r="L46" s="32" t="s">
        <v>547</v>
      </c>
      <c r="M46" s="32" t="s">
        <v>548</v>
      </c>
    </row>
    <row r="47" spans="1:13" ht="27.6">
      <c r="A47" s="31">
        <v>46332</v>
      </c>
      <c r="B47" s="32">
        <v>12</v>
      </c>
      <c r="C47" s="32" t="s">
        <v>390</v>
      </c>
      <c r="D47" s="32" t="s">
        <v>552</v>
      </c>
      <c r="E47" s="32" t="s">
        <v>553</v>
      </c>
      <c r="F47" s="32" t="s">
        <v>554</v>
      </c>
      <c r="G47" s="32" t="s">
        <v>430</v>
      </c>
      <c r="H47" s="32" t="s">
        <v>311</v>
      </c>
      <c r="I47" s="32" t="s">
        <v>555</v>
      </c>
      <c r="J47" s="32" t="s">
        <v>556</v>
      </c>
      <c r="K47" s="32" t="s">
        <v>557</v>
      </c>
      <c r="L47" s="32" t="s">
        <v>558</v>
      </c>
      <c r="M47" s="32" t="s">
        <v>559</v>
      </c>
    </row>
    <row r="48" spans="1:13" ht="27.6">
      <c r="A48" s="31">
        <v>46332</v>
      </c>
      <c r="B48" s="32">
        <v>12</v>
      </c>
      <c r="C48" s="32" t="s">
        <v>390</v>
      </c>
      <c r="D48" s="32" t="s">
        <v>552</v>
      </c>
      <c r="E48" s="32" t="s">
        <v>553</v>
      </c>
      <c r="F48" s="32" t="s">
        <v>560</v>
      </c>
      <c r="G48" s="32" t="s">
        <v>437</v>
      </c>
      <c r="H48" s="32" t="s">
        <v>311</v>
      </c>
      <c r="I48" s="32" t="s">
        <v>555</v>
      </c>
      <c r="J48" s="32" t="s">
        <v>556</v>
      </c>
      <c r="K48" s="32" t="s">
        <v>557</v>
      </c>
      <c r="L48" s="32" t="s">
        <v>558</v>
      </c>
      <c r="M48" s="32" t="s">
        <v>559</v>
      </c>
    </row>
    <row r="49" spans="1:13" ht="27.6">
      <c r="A49" s="31">
        <v>46332</v>
      </c>
      <c r="B49" s="32">
        <v>12</v>
      </c>
      <c r="C49" s="32" t="s">
        <v>390</v>
      </c>
      <c r="D49" s="32" t="s">
        <v>552</v>
      </c>
      <c r="E49" s="32" t="s">
        <v>553</v>
      </c>
      <c r="F49" s="32" t="s">
        <v>561</v>
      </c>
      <c r="G49" s="32" t="s">
        <v>439</v>
      </c>
      <c r="H49" s="32" t="s">
        <v>311</v>
      </c>
      <c r="I49" s="32" t="s">
        <v>555</v>
      </c>
      <c r="J49" s="32" t="s">
        <v>556</v>
      </c>
      <c r="K49" s="32" t="s">
        <v>557</v>
      </c>
      <c r="L49" s="32" t="s">
        <v>558</v>
      </c>
      <c r="M49" s="32" t="s">
        <v>559</v>
      </c>
    </row>
    <row r="50" spans="1:13" ht="27.6">
      <c r="A50" s="31">
        <v>46332</v>
      </c>
      <c r="B50" s="32">
        <v>12</v>
      </c>
      <c r="C50" s="32" t="s">
        <v>390</v>
      </c>
      <c r="D50" s="32" t="s">
        <v>552</v>
      </c>
      <c r="E50" s="32" t="s">
        <v>553</v>
      </c>
      <c r="F50" s="32" t="s">
        <v>562</v>
      </c>
      <c r="G50" s="32" t="s">
        <v>441</v>
      </c>
      <c r="H50" s="32" t="s">
        <v>311</v>
      </c>
      <c r="I50" s="32" t="s">
        <v>555</v>
      </c>
      <c r="J50" s="32" t="s">
        <v>556</v>
      </c>
      <c r="K50" s="32" t="s">
        <v>557</v>
      </c>
      <c r="L50" s="32" t="s">
        <v>558</v>
      </c>
      <c r="M50" s="32" t="s">
        <v>559</v>
      </c>
    </row>
    <row r="51" spans="1:13" ht="41.4">
      <c r="A51" s="31">
        <v>46333</v>
      </c>
      <c r="B51" s="32">
        <v>13</v>
      </c>
      <c r="C51" s="32" t="s">
        <v>390</v>
      </c>
      <c r="D51" s="32" t="s">
        <v>563</v>
      </c>
      <c r="E51" s="32" t="s">
        <v>564</v>
      </c>
      <c r="F51" s="32" t="s">
        <v>565</v>
      </c>
      <c r="G51" s="32" t="s">
        <v>430</v>
      </c>
      <c r="H51" s="32" t="s">
        <v>311</v>
      </c>
      <c r="I51" s="32" t="s">
        <v>566</v>
      </c>
      <c r="J51" s="32" t="s">
        <v>567</v>
      </c>
      <c r="K51" s="32" t="s">
        <v>568</v>
      </c>
      <c r="L51" s="32" t="s">
        <v>569</v>
      </c>
      <c r="M51" s="32" t="s">
        <v>570</v>
      </c>
    </row>
    <row r="52" spans="1:13" ht="41.4">
      <c r="A52" s="31">
        <v>46333</v>
      </c>
      <c r="B52" s="32">
        <v>13</v>
      </c>
      <c r="C52" s="32" t="s">
        <v>390</v>
      </c>
      <c r="D52" s="32" t="s">
        <v>563</v>
      </c>
      <c r="E52" s="32" t="s">
        <v>564</v>
      </c>
      <c r="F52" s="32" t="s">
        <v>571</v>
      </c>
      <c r="G52" s="32" t="s">
        <v>437</v>
      </c>
      <c r="H52" s="32" t="s">
        <v>311</v>
      </c>
      <c r="I52" s="32" t="s">
        <v>566</v>
      </c>
      <c r="J52" s="32" t="s">
        <v>567</v>
      </c>
      <c r="K52" s="32" t="s">
        <v>568</v>
      </c>
      <c r="L52" s="32" t="s">
        <v>569</v>
      </c>
      <c r="M52" s="32" t="s">
        <v>570</v>
      </c>
    </row>
    <row r="53" spans="1:13" ht="41.4">
      <c r="A53" s="31">
        <v>46333</v>
      </c>
      <c r="B53" s="32">
        <v>13</v>
      </c>
      <c r="C53" s="32" t="s">
        <v>390</v>
      </c>
      <c r="D53" s="32" t="s">
        <v>563</v>
      </c>
      <c r="E53" s="32" t="s">
        <v>564</v>
      </c>
      <c r="F53" s="32" t="s">
        <v>572</v>
      </c>
      <c r="G53" s="32" t="s">
        <v>439</v>
      </c>
      <c r="H53" s="32" t="s">
        <v>311</v>
      </c>
      <c r="I53" s="32" t="s">
        <v>566</v>
      </c>
      <c r="J53" s="32" t="s">
        <v>567</v>
      </c>
      <c r="K53" s="32" t="s">
        <v>568</v>
      </c>
      <c r="L53" s="32" t="s">
        <v>569</v>
      </c>
      <c r="M53" s="32" t="s">
        <v>570</v>
      </c>
    </row>
    <row r="54" spans="1:13" ht="41.4">
      <c r="A54" s="31">
        <v>46333</v>
      </c>
      <c r="B54" s="32">
        <v>13</v>
      </c>
      <c r="C54" s="32" t="s">
        <v>390</v>
      </c>
      <c r="D54" s="32" t="s">
        <v>563</v>
      </c>
      <c r="E54" s="32" t="s">
        <v>564</v>
      </c>
      <c r="F54" s="32" t="s">
        <v>573</v>
      </c>
      <c r="G54" s="32" t="s">
        <v>441</v>
      </c>
      <c r="H54" s="32" t="s">
        <v>311</v>
      </c>
      <c r="I54" s="32" t="s">
        <v>566</v>
      </c>
      <c r="J54" s="32" t="s">
        <v>567</v>
      </c>
      <c r="K54" s="32" t="s">
        <v>568</v>
      </c>
      <c r="L54" s="32" t="s">
        <v>569</v>
      </c>
      <c r="M54" s="32" t="s">
        <v>570</v>
      </c>
    </row>
    <row r="55" spans="1:13" ht="27.6">
      <c r="A55" s="31">
        <v>46334</v>
      </c>
      <c r="B55" s="32">
        <v>14</v>
      </c>
      <c r="C55" s="32" t="s">
        <v>390</v>
      </c>
      <c r="D55" s="32" t="s">
        <v>574</v>
      </c>
      <c r="E55" s="32" t="s">
        <v>575</v>
      </c>
      <c r="F55" s="32" t="s">
        <v>576</v>
      </c>
      <c r="G55" s="32" t="s">
        <v>430</v>
      </c>
      <c r="H55" s="32" t="s">
        <v>311</v>
      </c>
      <c r="I55" s="32" t="s">
        <v>577</v>
      </c>
      <c r="J55" s="32" t="s">
        <v>578</v>
      </c>
      <c r="K55" s="32" t="s">
        <v>579</v>
      </c>
      <c r="L55" s="32" t="s">
        <v>580</v>
      </c>
      <c r="M55" s="32" t="s">
        <v>581</v>
      </c>
    </row>
    <row r="56" spans="1:13" ht="27.6">
      <c r="A56" s="31">
        <v>46334</v>
      </c>
      <c r="B56" s="32">
        <v>14</v>
      </c>
      <c r="C56" s="32" t="s">
        <v>390</v>
      </c>
      <c r="D56" s="32" t="s">
        <v>574</v>
      </c>
      <c r="E56" s="32" t="s">
        <v>575</v>
      </c>
      <c r="F56" s="32" t="s">
        <v>582</v>
      </c>
      <c r="G56" s="32" t="s">
        <v>437</v>
      </c>
      <c r="H56" s="32" t="s">
        <v>311</v>
      </c>
      <c r="I56" s="32" t="s">
        <v>577</v>
      </c>
      <c r="J56" s="32" t="s">
        <v>578</v>
      </c>
      <c r="K56" s="32" t="s">
        <v>579</v>
      </c>
      <c r="L56" s="32" t="s">
        <v>580</v>
      </c>
      <c r="M56" s="32" t="s">
        <v>581</v>
      </c>
    </row>
    <row r="57" spans="1:13" ht="27.6">
      <c r="A57" s="31">
        <v>46334</v>
      </c>
      <c r="B57" s="32">
        <v>14</v>
      </c>
      <c r="C57" s="32" t="s">
        <v>390</v>
      </c>
      <c r="D57" s="32" t="s">
        <v>574</v>
      </c>
      <c r="E57" s="32" t="s">
        <v>575</v>
      </c>
      <c r="F57" s="32" t="s">
        <v>583</v>
      </c>
      <c r="G57" s="32" t="s">
        <v>439</v>
      </c>
      <c r="H57" s="32" t="s">
        <v>311</v>
      </c>
      <c r="I57" s="32" t="s">
        <v>577</v>
      </c>
      <c r="J57" s="32" t="s">
        <v>578</v>
      </c>
      <c r="K57" s="32" t="s">
        <v>579</v>
      </c>
      <c r="L57" s="32" t="s">
        <v>580</v>
      </c>
      <c r="M57" s="32" t="s">
        <v>581</v>
      </c>
    </row>
    <row r="58" spans="1:13" ht="27.6">
      <c r="A58" s="31">
        <v>46334</v>
      </c>
      <c r="B58" s="32">
        <v>14</v>
      </c>
      <c r="C58" s="32" t="s">
        <v>390</v>
      </c>
      <c r="D58" s="32" t="s">
        <v>574</v>
      </c>
      <c r="E58" s="32" t="s">
        <v>575</v>
      </c>
      <c r="F58" s="32" t="s">
        <v>584</v>
      </c>
      <c r="G58" s="32" t="s">
        <v>441</v>
      </c>
      <c r="H58" s="32" t="s">
        <v>311</v>
      </c>
      <c r="I58" s="32" t="s">
        <v>577</v>
      </c>
      <c r="J58" s="32" t="s">
        <v>578</v>
      </c>
      <c r="K58" s="32" t="s">
        <v>579</v>
      </c>
      <c r="L58" s="32" t="s">
        <v>580</v>
      </c>
      <c r="M58" s="32" t="s">
        <v>581</v>
      </c>
    </row>
    <row r="59" spans="1:13" ht="27.6">
      <c r="A59" s="31">
        <v>46335</v>
      </c>
      <c r="B59" s="32">
        <v>15</v>
      </c>
      <c r="C59" s="32" t="s">
        <v>390</v>
      </c>
      <c r="D59" s="32" t="s">
        <v>585</v>
      </c>
      <c r="E59" s="32" t="s">
        <v>586</v>
      </c>
      <c r="F59" s="32" t="s">
        <v>587</v>
      </c>
      <c r="G59" s="32" t="s">
        <v>430</v>
      </c>
      <c r="H59" s="32" t="s">
        <v>311</v>
      </c>
      <c r="I59" s="32" t="s">
        <v>588</v>
      </c>
      <c r="J59" s="32" t="s">
        <v>589</v>
      </c>
      <c r="K59" s="32" t="s">
        <v>590</v>
      </c>
      <c r="L59" s="32" t="s">
        <v>591</v>
      </c>
      <c r="M59" s="32" t="s">
        <v>592</v>
      </c>
    </row>
    <row r="60" spans="1:13" ht="27.6">
      <c r="A60" s="31">
        <v>46335</v>
      </c>
      <c r="B60" s="32">
        <v>15</v>
      </c>
      <c r="C60" s="32" t="s">
        <v>390</v>
      </c>
      <c r="D60" s="32" t="s">
        <v>585</v>
      </c>
      <c r="E60" s="32" t="s">
        <v>586</v>
      </c>
      <c r="F60" s="32" t="s">
        <v>593</v>
      </c>
      <c r="G60" s="32" t="s">
        <v>437</v>
      </c>
      <c r="H60" s="32" t="s">
        <v>311</v>
      </c>
      <c r="I60" s="32" t="s">
        <v>588</v>
      </c>
      <c r="J60" s="32" t="s">
        <v>589</v>
      </c>
      <c r="K60" s="32" t="s">
        <v>590</v>
      </c>
      <c r="L60" s="32" t="s">
        <v>591</v>
      </c>
      <c r="M60" s="32" t="s">
        <v>592</v>
      </c>
    </row>
    <row r="61" spans="1:13" ht="27.6">
      <c r="A61" s="31">
        <v>46335</v>
      </c>
      <c r="B61" s="32">
        <v>15</v>
      </c>
      <c r="C61" s="32" t="s">
        <v>390</v>
      </c>
      <c r="D61" s="32" t="s">
        <v>585</v>
      </c>
      <c r="E61" s="32" t="s">
        <v>586</v>
      </c>
      <c r="F61" s="32" t="s">
        <v>594</v>
      </c>
      <c r="G61" s="32" t="s">
        <v>439</v>
      </c>
      <c r="H61" s="32" t="s">
        <v>311</v>
      </c>
      <c r="I61" s="32" t="s">
        <v>588</v>
      </c>
      <c r="J61" s="32" t="s">
        <v>589</v>
      </c>
      <c r="K61" s="32" t="s">
        <v>590</v>
      </c>
      <c r="L61" s="32" t="s">
        <v>591</v>
      </c>
      <c r="M61" s="32" t="s">
        <v>592</v>
      </c>
    </row>
    <row r="62" spans="1:13" ht="27.6">
      <c r="A62" s="31">
        <v>46335</v>
      </c>
      <c r="B62" s="32">
        <v>15</v>
      </c>
      <c r="C62" s="32" t="s">
        <v>390</v>
      </c>
      <c r="D62" s="32" t="s">
        <v>585</v>
      </c>
      <c r="E62" s="32" t="s">
        <v>586</v>
      </c>
      <c r="F62" s="32" t="s">
        <v>595</v>
      </c>
      <c r="G62" s="32" t="s">
        <v>441</v>
      </c>
      <c r="H62" s="32" t="s">
        <v>311</v>
      </c>
      <c r="I62" s="32" t="s">
        <v>588</v>
      </c>
      <c r="J62" s="32" t="s">
        <v>589</v>
      </c>
      <c r="K62" s="32" t="s">
        <v>590</v>
      </c>
      <c r="L62" s="32" t="s">
        <v>591</v>
      </c>
      <c r="M62" s="32" t="s">
        <v>592</v>
      </c>
    </row>
    <row r="63" spans="1:13" ht="27.6">
      <c r="A63" s="31">
        <v>46336</v>
      </c>
      <c r="B63" s="32">
        <v>16</v>
      </c>
      <c r="C63" s="32" t="s">
        <v>390</v>
      </c>
      <c r="D63" s="32" t="s">
        <v>596</v>
      </c>
      <c r="E63" s="32" t="s">
        <v>597</v>
      </c>
      <c r="F63" s="32" t="s">
        <v>598</v>
      </c>
      <c r="G63" s="32" t="s">
        <v>430</v>
      </c>
      <c r="H63" s="32" t="s">
        <v>311</v>
      </c>
      <c r="I63" s="32" t="s">
        <v>599</v>
      </c>
      <c r="J63" s="32" t="s">
        <v>600</v>
      </c>
      <c r="K63" s="32" t="s">
        <v>601</v>
      </c>
      <c r="L63" s="32" t="s">
        <v>602</v>
      </c>
      <c r="M63" s="32" t="s">
        <v>603</v>
      </c>
    </row>
    <row r="64" spans="1:13" ht="27.6">
      <c r="A64" s="31">
        <v>46336</v>
      </c>
      <c r="B64" s="32">
        <v>16</v>
      </c>
      <c r="C64" s="32" t="s">
        <v>390</v>
      </c>
      <c r="D64" s="32" t="s">
        <v>596</v>
      </c>
      <c r="E64" s="32" t="s">
        <v>597</v>
      </c>
      <c r="F64" s="32" t="s">
        <v>604</v>
      </c>
      <c r="G64" s="32" t="s">
        <v>437</v>
      </c>
      <c r="H64" s="32" t="s">
        <v>311</v>
      </c>
      <c r="I64" s="32" t="s">
        <v>599</v>
      </c>
      <c r="J64" s="32" t="s">
        <v>600</v>
      </c>
      <c r="K64" s="32" t="s">
        <v>601</v>
      </c>
      <c r="L64" s="32" t="s">
        <v>602</v>
      </c>
      <c r="M64" s="32" t="s">
        <v>603</v>
      </c>
    </row>
    <row r="65" spans="1:13" ht="27.6">
      <c r="A65" s="31">
        <v>46336</v>
      </c>
      <c r="B65" s="32">
        <v>16</v>
      </c>
      <c r="C65" s="32" t="s">
        <v>390</v>
      </c>
      <c r="D65" s="32" t="s">
        <v>596</v>
      </c>
      <c r="E65" s="32" t="s">
        <v>597</v>
      </c>
      <c r="F65" s="32" t="s">
        <v>605</v>
      </c>
      <c r="G65" s="32" t="s">
        <v>439</v>
      </c>
      <c r="H65" s="32" t="s">
        <v>311</v>
      </c>
      <c r="I65" s="32" t="s">
        <v>599</v>
      </c>
      <c r="J65" s="32" t="s">
        <v>600</v>
      </c>
      <c r="K65" s="32" t="s">
        <v>601</v>
      </c>
      <c r="L65" s="32" t="s">
        <v>602</v>
      </c>
      <c r="M65" s="32" t="s">
        <v>603</v>
      </c>
    </row>
    <row r="66" spans="1:13" ht="27.6">
      <c r="A66" s="31">
        <v>46336</v>
      </c>
      <c r="B66" s="32">
        <v>16</v>
      </c>
      <c r="C66" s="32" t="s">
        <v>390</v>
      </c>
      <c r="D66" s="32" t="s">
        <v>596</v>
      </c>
      <c r="E66" s="32" t="s">
        <v>597</v>
      </c>
      <c r="F66" s="32" t="s">
        <v>606</v>
      </c>
      <c r="G66" s="32" t="s">
        <v>441</v>
      </c>
      <c r="H66" s="32" t="s">
        <v>311</v>
      </c>
      <c r="I66" s="32" t="s">
        <v>599</v>
      </c>
      <c r="J66" s="32" t="s">
        <v>600</v>
      </c>
      <c r="K66" s="32" t="s">
        <v>601</v>
      </c>
      <c r="L66" s="32" t="s">
        <v>602</v>
      </c>
      <c r="M66" s="32" t="s">
        <v>603</v>
      </c>
    </row>
    <row r="67" spans="1:13" ht="27.6">
      <c r="A67" s="31">
        <v>46337</v>
      </c>
      <c r="B67" s="32">
        <v>17</v>
      </c>
      <c r="C67" s="32" t="s">
        <v>390</v>
      </c>
      <c r="D67" s="32" t="s">
        <v>607</v>
      </c>
      <c r="E67" s="32" t="s">
        <v>608</v>
      </c>
      <c r="F67" s="32" t="s">
        <v>609</v>
      </c>
      <c r="G67" s="32" t="s">
        <v>430</v>
      </c>
      <c r="H67" s="32" t="s">
        <v>311</v>
      </c>
      <c r="I67" s="32" t="s">
        <v>610</v>
      </c>
      <c r="J67" s="32" t="s">
        <v>611</v>
      </c>
      <c r="K67" s="32" t="s">
        <v>612</v>
      </c>
      <c r="L67" s="32" t="s">
        <v>613</v>
      </c>
      <c r="M67" s="32" t="s">
        <v>614</v>
      </c>
    </row>
    <row r="68" spans="1:13" ht="27.6">
      <c r="A68" s="31">
        <v>46337</v>
      </c>
      <c r="B68" s="32">
        <v>17</v>
      </c>
      <c r="C68" s="32" t="s">
        <v>390</v>
      </c>
      <c r="D68" s="32" t="s">
        <v>607</v>
      </c>
      <c r="E68" s="32" t="s">
        <v>608</v>
      </c>
      <c r="F68" s="32" t="s">
        <v>615</v>
      </c>
      <c r="G68" s="32" t="s">
        <v>437</v>
      </c>
      <c r="H68" s="32" t="s">
        <v>311</v>
      </c>
      <c r="I68" s="32" t="s">
        <v>610</v>
      </c>
      <c r="J68" s="32" t="s">
        <v>611</v>
      </c>
      <c r="K68" s="32" t="s">
        <v>612</v>
      </c>
      <c r="L68" s="32" t="s">
        <v>613</v>
      </c>
      <c r="M68" s="32" t="s">
        <v>614</v>
      </c>
    </row>
    <row r="69" spans="1:13" ht="27.6">
      <c r="A69" s="31">
        <v>46337</v>
      </c>
      <c r="B69" s="32">
        <v>17</v>
      </c>
      <c r="C69" s="32" t="s">
        <v>390</v>
      </c>
      <c r="D69" s="32" t="s">
        <v>607</v>
      </c>
      <c r="E69" s="32" t="s">
        <v>608</v>
      </c>
      <c r="F69" s="32" t="s">
        <v>616</v>
      </c>
      <c r="G69" s="32" t="s">
        <v>439</v>
      </c>
      <c r="H69" s="32" t="s">
        <v>311</v>
      </c>
      <c r="I69" s="32" t="s">
        <v>610</v>
      </c>
      <c r="J69" s="32" t="s">
        <v>611</v>
      </c>
      <c r="K69" s="32" t="s">
        <v>612</v>
      </c>
      <c r="L69" s="32" t="s">
        <v>613</v>
      </c>
      <c r="M69" s="32" t="s">
        <v>614</v>
      </c>
    </row>
    <row r="70" spans="1:13" ht="27.6">
      <c r="A70" s="31">
        <v>46337</v>
      </c>
      <c r="B70" s="32">
        <v>17</v>
      </c>
      <c r="C70" s="32" t="s">
        <v>390</v>
      </c>
      <c r="D70" s="32" t="s">
        <v>607</v>
      </c>
      <c r="E70" s="32" t="s">
        <v>608</v>
      </c>
      <c r="F70" s="32" t="s">
        <v>617</v>
      </c>
      <c r="G70" s="32" t="s">
        <v>441</v>
      </c>
      <c r="H70" s="32" t="s">
        <v>311</v>
      </c>
      <c r="I70" s="32" t="s">
        <v>610</v>
      </c>
      <c r="J70" s="32" t="s">
        <v>611</v>
      </c>
      <c r="K70" s="32" t="s">
        <v>612</v>
      </c>
      <c r="L70" s="32" t="s">
        <v>613</v>
      </c>
      <c r="M70" s="32" t="s">
        <v>614</v>
      </c>
    </row>
    <row r="71" spans="1:13" ht="27.6">
      <c r="A71" s="31">
        <v>46338</v>
      </c>
      <c r="B71" s="32">
        <v>18</v>
      </c>
      <c r="C71" s="32" t="s">
        <v>390</v>
      </c>
      <c r="D71" s="32" t="s">
        <v>618</v>
      </c>
      <c r="E71" s="32" t="s">
        <v>619</v>
      </c>
      <c r="F71" s="32" t="s">
        <v>620</v>
      </c>
      <c r="G71" s="32" t="s">
        <v>430</v>
      </c>
      <c r="H71" s="32" t="s">
        <v>311</v>
      </c>
      <c r="I71" s="32" t="s">
        <v>621</v>
      </c>
      <c r="J71" s="32" t="s">
        <v>622</v>
      </c>
      <c r="K71" s="32" t="s">
        <v>623</v>
      </c>
      <c r="L71" s="32" t="s">
        <v>624</v>
      </c>
      <c r="M71" s="32" t="s">
        <v>625</v>
      </c>
    </row>
    <row r="72" spans="1:13" ht="27.6">
      <c r="A72" s="31">
        <v>46338</v>
      </c>
      <c r="B72" s="32">
        <v>18</v>
      </c>
      <c r="C72" s="32" t="s">
        <v>390</v>
      </c>
      <c r="D72" s="32" t="s">
        <v>618</v>
      </c>
      <c r="E72" s="32" t="s">
        <v>619</v>
      </c>
      <c r="F72" s="32" t="s">
        <v>626</v>
      </c>
      <c r="G72" s="32" t="s">
        <v>437</v>
      </c>
      <c r="H72" s="32" t="s">
        <v>311</v>
      </c>
      <c r="I72" s="32" t="s">
        <v>621</v>
      </c>
      <c r="J72" s="32" t="s">
        <v>622</v>
      </c>
      <c r="K72" s="32" t="s">
        <v>623</v>
      </c>
      <c r="L72" s="32" t="s">
        <v>624</v>
      </c>
      <c r="M72" s="32" t="s">
        <v>625</v>
      </c>
    </row>
    <row r="73" spans="1:13" ht="27.6">
      <c r="A73" s="31">
        <v>46338</v>
      </c>
      <c r="B73" s="32">
        <v>18</v>
      </c>
      <c r="C73" s="32" t="s">
        <v>390</v>
      </c>
      <c r="D73" s="32" t="s">
        <v>618</v>
      </c>
      <c r="E73" s="32" t="s">
        <v>619</v>
      </c>
      <c r="F73" s="32" t="s">
        <v>627</v>
      </c>
      <c r="G73" s="32" t="s">
        <v>439</v>
      </c>
      <c r="H73" s="32" t="s">
        <v>311</v>
      </c>
      <c r="I73" s="32" t="s">
        <v>621</v>
      </c>
      <c r="J73" s="32" t="s">
        <v>622</v>
      </c>
      <c r="K73" s="32" t="s">
        <v>623</v>
      </c>
      <c r="L73" s="32" t="s">
        <v>624</v>
      </c>
      <c r="M73" s="32" t="s">
        <v>625</v>
      </c>
    </row>
    <row r="74" spans="1:13" ht="27.6">
      <c r="A74" s="31">
        <v>46338</v>
      </c>
      <c r="B74" s="32">
        <v>18</v>
      </c>
      <c r="C74" s="32" t="s">
        <v>390</v>
      </c>
      <c r="D74" s="32" t="s">
        <v>618</v>
      </c>
      <c r="E74" s="32" t="s">
        <v>619</v>
      </c>
      <c r="F74" s="32" t="s">
        <v>628</v>
      </c>
      <c r="G74" s="32" t="s">
        <v>441</v>
      </c>
      <c r="H74" s="32" t="s">
        <v>311</v>
      </c>
      <c r="I74" s="32" t="s">
        <v>621</v>
      </c>
      <c r="J74" s="32" t="s">
        <v>622</v>
      </c>
      <c r="K74" s="32" t="s">
        <v>623</v>
      </c>
      <c r="L74" s="32" t="s">
        <v>624</v>
      </c>
      <c r="M74" s="32" t="s">
        <v>625</v>
      </c>
    </row>
    <row r="75" spans="1:13" ht="27.6">
      <c r="A75" s="31">
        <v>46339</v>
      </c>
      <c r="B75" s="32">
        <v>19</v>
      </c>
      <c r="C75" s="32" t="s">
        <v>390</v>
      </c>
      <c r="D75" s="32" t="s">
        <v>629</v>
      </c>
      <c r="E75" s="32" t="s">
        <v>630</v>
      </c>
      <c r="F75" s="32" t="s">
        <v>631</v>
      </c>
      <c r="G75" s="32" t="s">
        <v>430</v>
      </c>
      <c r="H75" s="32" t="s">
        <v>311</v>
      </c>
      <c r="I75" s="32" t="s">
        <v>632</v>
      </c>
      <c r="J75" s="32" t="s">
        <v>633</v>
      </c>
      <c r="K75" s="32" t="s">
        <v>634</v>
      </c>
      <c r="L75" s="32" t="s">
        <v>635</v>
      </c>
      <c r="M75" s="32" t="s">
        <v>636</v>
      </c>
    </row>
    <row r="76" spans="1:13" ht="27.6">
      <c r="A76" s="31">
        <v>46339</v>
      </c>
      <c r="B76" s="32">
        <v>19</v>
      </c>
      <c r="C76" s="32" t="s">
        <v>390</v>
      </c>
      <c r="D76" s="32" t="s">
        <v>629</v>
      </c>
      <c r="E76" s="32" t="s">
        <v>630</v>
      </c>
      <c r="F76" s="32" t="s">
        <v>637</v>
      </c>
      <c r="G76" s="32" t="s">
        <v>437</v>
      </c>
      <c r="H76" s="32" t="s">
        <v>311</v>
      </c>
      <c r="I76" s="32" t="s">
        <v>632</v>
      </c>
      <c r="J76" s="32" t="s">
        <v>633</v>
      </c>
      <c r="K76" s="32" t="s">
        <v>634</v>
      </c>
      <c r="L76" s="32" t="s">
        <v>635</v>
      </c>
      <c r="M76" s="32" t="s">
        <v>636</v>
      </c>
    </row>
    <row r="77" spans="1:13" ht="27.6">
      <c r="A77" s="31">
        <v>46339</v>
      </c>
      <c r="B77" s="32">
        <v>19</v>
      </c>
      <c r="C77" s="32" t="s">
        <v>390</v>
      </c>
      <c r="D77" s="32" t="s">
        <v>629</v>
      </c>
      <c r="E77" s="32" t="s">
        <v>630</v>
      </c>
      <c r="F77" s="32" t="s">
        <v>638</v>
      </c>
      <c r="G77" s="32" t="s">
        <v>439</v>
      </c>
      <c r="H77" s="32" t="s">
        <v>311</v>
      </c>
      <c r="I77" s="32" t="s">
        <v>632</v>
      </c>
      <c r="J77" s="32" t="s">
        <v>633</v>
      </c>
      <c r="K77" s="32" t="s">
        <v>634</v>
      </c>
      <c r="L77" s="32" t="s">
        <v>635</v>
      </c>
      <c r="M77" s="32" t="s">
        <v>636</v>
      </c>
    </row>
    <row r="78" spans="1:13" ht="27.6">
      <c r="A78" s="31">
        <v>46339</v>
      </c>
      <c r="B78" s="32">
        <v>19</v>
      </c>
      <c r="C78" s="32" t="s">
        <v>390</v>
      </c>
      <c r="D78" s="32" t="s">
        <v>629</v>
      </c>
      <c r="E78" s="32" t="s">
        <v>630</v>
      </c>
      <c r="F78" s="32" t="s">
        <v>639</v>
      </c>
      <c r="G78" s="32" t="s">
        <v>441</v>
      </c>
      <c r="H78" s="32" t="s">
        <v>311</v>
      </c>
      <c r="I78" s="32" t="s">
        <v>632</v>
      </c>
      <c r="J78" s="32" t="s">
        <v>633</v>
      </c>
      <c r="K78" s="32" t="s">
        <v>634</v>
      </c>
      <c r="L78" s="32" t="s">
        <v>635</v>
      </c>
      <c r="M78" s="32" t="s">
        <v>636</v>
      </c>
    </row>
    <row r="79" spans="1:13" ht="27.6">
      <c r="A79" s="31">
        <v>46340</v>
      </c>
      <c r="B79" s="32">
        <v>20</v>
      </c>
      <c r="C79" s="32" t="s">
        <v>390</v>
      </c>
      <c r="D79" s="32" t="s">
        <v>640</v>
      </c>
      <c r="E79" s="32" t="s">
        <v>641</v>
      </c>
      <c r="F79" s="32" t="s">
        <v>642</v>
      </c>
      <c r="G79" s="32" t="s">
        <v>430</v>
      </c>
      <c r="H79" s="32" t="s">
        <v>311</v>
      </c>
      <c r="I79" s="32" t="s">
        <v>643</v>
      </c>
      <c r="J79" s="32" t="s">
        <v>644</v>
      </c>
      <c r="K79" s="32" t="s">
        <v>645</v>
      </c>
      <c r="L79" s="32" t="s">
        <v>646</v>
      </c>
      <c r="M79" s="32" t="s">
        <v>647</v>
      </c>
    </row>
    <row r="80" spans="1:13" ht="27.6">
      <c r="A80" s="31">
        <v>46340</v>
      </c>
      <c r="B80" s="32">
        <v>20</v>
      </c>
      <c r="C80" s="32" t="s">
        <v>390</v>
      </c>
      <c r="D80" s="32" t="s">
        <v>640</v>
      </c>
      <c r="E80" s="32" t="s">
        <v>641</v>
      </c>
      <c r="F80" s="32" t="s">
        <v>648</v>
      </c>
      <c r="G80" s="32" t="s">
        <v>437</v>
      </c>
      <c r="H80" s="32" t="s">
        <v>311</v>
      </c>
      <c r="I80" s="32" t="s">
        <v>643</v>
      </c>
      <c r="J80" s="32" t="s">
        <v>644</v>
      </c>
      <c r="K80" s="32" t="s">
        <v>645</v>
      </c>
      <c r="L80" s="32" t="s">
        <v>646</v>
      </c>
      <c r="M80" s="32" t="s">
        <v>647</v>
      </c>
    </row>
    <row r="81" spans="1:13" ht="27.6">
      <c r="A81" s="31">
        <v>46340</v>
      </c>
      <c r="B81" s="32">
        <v>20</v>
      </c>
      <c r="C81" s="32" t="s">
        <v>390</v>
      </c>
      <c r="D81" s="32" t="s">
        <v>640</v>
      </c>
      <c r="E81" s="32" t="s">
        <v>641</v>
      </c>
      <c r="F81" s="32" t="s">
        <v>649</v>
      </c>
      <c r="G81" s="32" t="s">
        <v>439</v>
      </c>
      <c r="H81" s="32" t="s">
        <v>311</v>
      </c>
      <c r="I81" s="32" t="s">
        <v>643</v>
      </c>
      <c r="J81" s="32" t="s">
        <v>644</v>
      </c>
      <c r="K81" s="32" t="s">
        <v>645</v>
      </c>
      <c r="L81" s="32" t="s">
        <v>646</v>
      </c>
      <c r="M81" s="32" t="s">
        <v>647</v>
      </c>
    </row>
    <row r="82" spans="1:13" ht="27.6">
      <c r="A82" s="31">
        <v>46340</v>
      </c>
      <c r="B82" s="32">
        <v>20</v>
      </c>
      <c r="C82" s="32" t="s">
        <v>390</v>
      </c>
      <c r="D82" s="32" t="s">
        <v>640</v>
      </c>
      <c r="E82" s="32" t="s">
        <v>641</v>
      </c>
      <c r="F82" s="32" t="s">
        <v>650</v>
      </c>
      <c r="G82" s="32" t="s">
        <v>441</v>
      </c>
      <c r="H82" s="32" t="s">
        <v>311</v>
      </c>
      <c r="I82" s="32" t="s">
        <v>643</v>
      </c>
      <c r="J82" s="32" t="s">
        <v>644</v>
      </c>
      <c r="K82" s="32" t="s">
        <v>645</v>
      </c>
      <c r="L82" s="32" t="s">
        <v>646</v>
      </c>
      <c r="M82" s="32" t="s">
        <v>647</v>
      </c>
    </row>
    <row r="83" spans="1:13" ht="27.6">
      <c r="A83" s="31">
        <v>46341</v>
      </c>
      <c r="B83" s="32">
        <v>21</v>
      </c>
      <c r="C83" s="32" t="s">
        <v>390</v>
      </c>
      <c r="D83" s="32" t="s">
        <v>651</v>
      </c>
      <c r="E83" s="32" t="s">
        <v>652</v>
      </c>
      <c r="F83" s="32" t="s">
        <v>653</v>
      </c>
      <c r="G83" s="32" t="s">
        <v>430</v>
      </c>
      <c r="H83" s="32" t="s">
        <v>311</v>
      </c>
      <c r="I83" s="32" t="s">
        <v>654</v>
      </c>
      <c r="J83" s="32" t="s">
        <v>655</v>
      </c>
      <c r="K83" s="32" t="s">
        <v>656</v>
      </c>
      <c r="L83" s="32" t="s">
        <v>657</v>
      </c>
      <c r="M83" s="32" t="s">
        <v>658</v>
      </c>
    </row>
    <row r="84" spans="1:13" ht="27.6">
      <c r="A84" s="31">
        <v>46341</v>
      </c>
      <c r="B84" s="32">
        <v>21</v>
      </c>
      <c r="C84" s="32" t="s">
        <v>390</v>
      </c>
      <c r="D84" s="32" t="s">
        <v>651</v>
      </c>
      <c r="E84" s="32" t="s">
        <v>652</v>
      </c>
      <c r="F84" s="32" t="s">
        <v>659</v>
      </c>
      <c r="G84" s="32" t="s">
        <v>437</v>
      </c>
      <c r="H84" s="32" t="s">
        <v>311</v>
      </c>
      <c r="I84" s="32" t="s">
        <v>654</v>
      </c>
      <c r="J84" s="32" t="s">
        <v>655</v>
      </c>
      <c r="K84" s="32" t="s">
        <v>656</v>
      </c>
      <c r="L84" s="32" t="s">
        <v>657</v>
      </c>
      <c r="M84" s="32" t="s">
        <v>658</v>
      </c>
    </row>
    <row r="85" spans="1:13" ht="27.6">
      <c r="A85" s="31">
        <v>46341</v>
      </c>
      <c r="B85" s="32">
        <v>21</v>
      </c>
      <c r="C85" s="32" t="s">
        <v>390</v>
      </c>
      <c r="D85" s="32" t="s">
        <v>651</v>
      </c>
      <c r="E85" s="32" t="s">
        <v>652</v>
      </c>
      <c r="F85" s="32" t="s">
        <v>660</v>
      </c>
      <c r="G85" s="32" t="s">
        <v>439</v>
      </c>
      <c r="H85" s="32" t="s">
        <v>311</v>
      </c>
      <c r="I85" s="32" t="s">
        <v>654</v>
      </c>
      <c r="J85" s="32" t="s">
        <v>655</v>
      </c>
      <c r="K85" s="32" t="s">
        <v>656</v>
      </c>
      <c r="L85" s="32" t="s">
        <v>657</v>
      </c>
      <c r="M85" s="32" t="s">
        <v>658</v>
      </c>
    </row>
    <row r="86" spans="1:13" ht="27.6">
      <c r="A86" s="31">
        <v>46341</v>
      </c>
      <c r="B86" s="32">
        <v>21</v>
      </c>
      <c r="C86" s="32" t="s">
        <v>390</v>
      </c>
      <c r="D86" s="32" t="s">
        <v>651</v>
      </c>
      <c r="E86" s="32" t="s">
        <v>652</v>
      </c>
      <c r="F86" s="32" t="s">
        <v>661</v>
      </c>
      <c r="G86" s="32" t="s">
        <v>441</v>
      </c>
      <c r="H86" s="32" t="s">
        <v>311</v>
      </c>
      <c r="I86" s="32" t="s">
        <v>654</v>
      </c>
      <c r="J86" s="32" t="s">
        <v>655</v>
      </c>
      <c r="K86" s="32" t="s">
        <v>656</v>
      </c>
      <c r="L86" s="32" t="s">
        <v>657</v>
      </c>
      <c r="M86" s="32" t="s">
        <v>658</v>
      </c>
    </row>
    <row r="87" spans="1:13" ht="27.6">
      <c r="A87" s="31">
        <v>46342</v>
      </c>
      <c r="B87" s="32">
        <v>22</v>
      </c>
      <c r="C87" s="32" t="s">
        <v>390</v>
      </c>
      <c r="D87" s="32" t="s">
        <v>304</v>
      </c>
      <c r="E87" s="32" t="s">
        <v>662</v>
      </c>
      <c r="F87" s="32" t="s">
        <v>663</v>
      </c>
      <c r="G87" s="32" t="s">
        <v>430</v>
      </c>
      <c r="H87" s="32" t="s">
        <v>311</v>
      </c>
      <c r="I87" s="32" t="s">
        <v>664</v>
      </c>
      <c r="J87" s="32" t="s">
        <v>665</v>
      </c>
      <c r="K87" s="32" t="s">
        <v>666</v>
      </c>
      <c r="L87" s="32" t="s">
        <v>667</v>
      </c>
      <c r="M87" s="32" t="s">
        <v>668</v>
      </c>
    </row>
    <row r="88" spans="1:13" ht="27.6">
      <c r="A88" s="31">
        <v>46342</v>
      </c>
      <c r="B88" s="32">
        <v>22</v>
      </c>
      <c r="C88" s="32" t="s">
        <v>390</v>
      </c>
      <c r="D88" s="32" t="s">
        <v>304</v>
      </c>
      <c r="E88" s="32" t="s">
        <v>662</v>
      </c>
      <c r="F88" s="32" t="s">
        <v>669</v>
      </c>
      <c r="G88" s="32" t="s">
        <v>437</v>
      </c>
      <c r="H88" s="32" t="s">
        <v>311</v>
      </c>
      <c r="I88" s="32" t="s">
        <v>664</v>
      </c>
      <c r="J88" s="32" t="s">
        <v>665</v>
      </c>
      <c r="K88" s="32" t="s">
        <v>666</v>
      </c>
      <c r="L88" s="32" t="s">
        <v>667</v>
      </c>
      <c r="M88" s="32" t="s">
        <v>668</v>
      </c>
    </row>
    <row r="89" spans="1:13" ht="27.6">
      <c r="A89" s="31">
        <v>46342</v>
      </c>
      <c r="B89" s="32">
        <v>22</v>
      </c>
      <c r="C89" s="32" t="s">
        <v>390</v>
      </c>
      <c r="D89" s="32" t="s">
        <v>304</v>
      </c>
      <c r="E89" s="32" t="s">
        <v>662</v>
      </c>
      <c r="F89" s="32" t="s">
        <v>670</v>
      </c>
      <c r="G89" s="32" t="s">
        <v>439</v>
      </c>
      <c r="H89" s="32" t="s">
        <v>311</v>
      </c>
      <c r="I89" s="32" t="s">
        <v>664</v>
      </c>
      <c r="J89" s="32" t="s">
        <v>665</v>
      </c>
      <c r="K89" s="32" t="s">
        <v>666</v>
      </c>
      <c r="L89" s="32" t="s">
        <v>667</v>
      </c>
      <c r="M89" s="32" t="s">
        <v>668</v>
      </c>
    </row>
    <row r="90" spans="1:13" ht="27.6">
      <c r="A90" s="31">
        <v>46342</v>
      </c>
      <c r="B90" s="32">
        <v>22</v>
      </c>
      <c r="C90" s="32" t="s">
        <v>390</v>
      </c>
      <c r="D90" s="32" t="s">
        <v>304</v>
      </c>
      <c r="E90" s="32" t="s">
        <v>662</v>
      </c>
      <c r="F90" s="32" t="s">
        <v>671</v>
      </c>
      <c r="G90" s="32" t="s">
        <v>441</v>
      </c>
      <c r="H90" s="32" t="s">
        <v>311</v>
      </c>
      <c r="I90" s="32" t="s">
        <v>664</v>
      </c>
      <c r="J90" s="32" t="s">
        <v>665</v>
      </c>
      <c r="K90" s="32" t="s">
        <v>666</v>
      </c>
      <c r="L90" s="32" t="s">
        <v>667</v>
      </c>
      <c r="M90" s="32" t="s">
        <v>668</v>
      </c>
    </row>
    <row r="91" spans="1:13" ht="27.6">
      <c r="A91" s="31">
        <v>46343</v>
      </c>
      <c r="B91" s="32">
        <v>23</v>
      </c>
      <c r="C91" s="32" t="s">
        <v>390</v>
      </c>
      <c r="D91" s="32" t="s">
        <v>672</v>
      </c>
      <c r="E91" s="32" t="s">
        <v>673</v>
      </c>
      <c r="F91" s="32" t="s">
        <v>674</v>
      </c>
      <c r="G91" s="32" t="s">
        <v>430</v>
      </c>
      <c r="H91" s="32" t="s">
        <v>311</v>
      </c>
      <c r="I91" s="32" t="s">
        <v>675</v>
      </c>
      <c r="J91" s="32" t="s">
        <v>676</v>
      </c>
      <c r="K91" s="32" t="s">
        <v>677</v>
      </c>
      <c r="L91" s="32" t="s">
        <v>678</v>
      </c>
      <c r="M91" s="32" t="s">
        <v>679</v>
      </c>
    </row>
    <row r="92" spans="1:13" ht="27.6">
      <c r="A92" s="31">
        <v>46343</v>
      </c>
      <c r="B92" s="32">
        <v>23</v>
      </c>
      <c r="C92" s="32" t="s">
        <v>390</v>
      </c>
      <c r="D92" s="32" t="s">
        <v>672</v>
      </c>
      <c r="E92" s="32" t="s">
        <v>673</v>
      </c>
      <c r="F92" s="32" t="s">
        <v>680</v>
      </c>
      <c r="G92" s="32" t="s">
        <v>437</v>
      </c>
      <c r="H92" s="32" t="s">
        <v>311</v>
      </c>
      <c r="I92" s="32" t="s">
        <v>675</v>
      </c>
      <c r="J92" s="32" t="s">
        <v>676</v>
      </c>
      <c r="K92" s="32" t="s">
        <v>677</v>
      </c>
      <c r="L92" s="32" t="s">
        <v>678</v>
      </c>
      <c r="M92" s="32" t="s">
        <v>679</v>
      </c>
    </row>
    <row r="93" spans="1:13" ht="27.6">
      <c r="A93" s="31">
        <v>46343</v>
      </c>
      <c r="B93" s="32">
        <v>23</v>
      </c>
      <c r="C93" s="32" t="s">
        <v>390</v>
      </c>
      <c r="D93" s="32" t="s">
        <v>672</v>
      </c>
      <c r="E93" s="32" t="s">
        <v>673</v>
      </c>
      <c r="F93" s="32" t="s">
        <v>681</v>
      </c>
      <c r="G93" s="32" t="s">
        <v>439</v>
      </c>
      <c r="H93" s="32" t="s">
        <v>311</v>
      </c>
      <c r="I93" s="32" t="s">
        <v>675</v>
      </c>
      <c r="J93" s="32" t="s">
        <v>676</v>
      </c>
      <c r="K93" s="32" t="s">
        <v>677</v>
      </c>
      <c r="L93" s="32" t="s">
        <v>678</v>
      </c>
      <c r="M93" s="32" t="s">
        <v>679</v>
      </c>
    </row>
    <row r="94" spans="1:13" ht="27.6">
      <c r="A94" s="31">
        <v>46343</v>
      </c>
      <c r="B94" s="32">
        <v>23</v>
      </c>
      <c r="C94" s="32" t="s">
        <v>390</v>
      </c>
      <c r="D94" s="32" t="s">
        <v>672</v>
      </c>
      <c r="E94" s="32" t="s">
        <v>673</v>
      </c>
      <c r="F94" s="32" t="s">
        <v>682</v>
      </c>
      <c r="G94" s="32" t="s">
        <v>441</v>
      </c>
      <c r="H94" s="32" t="s">
        <v>311</v>
      </c>
      <c r="I94" s="32" t="s">
        <v>675</v>
      </c>
      <c r="J94" s="32" t="s">
        <v>676</v>
      </c>
      <c r="K94" s="32" t="s">
        <v>677</v>
      </c>
      <c r="L94" s="32" t="s">
        <v>678</v>
      </c>
      <c r="M94" s="32" t="s">
        <v>679</v>
      </c>
    </row>
    <row r="95" spans="1:13" ht="27.6">
      <c r="A95" s="31">
        <v>46344</v>
      </c>
      <c r="B95" s="32">
        <v>24</v>
      </c>
      <c r="C95" s="32" t="s">
        <v>390</v>
      </c>
      <c r="D95" s="32" t="s">
        <v>530</v>
      </c>
      <c r="E95" s="32" t="s">
        <v>683</v>
      </c>
      <c r="F95" s="32" t="s">
        <v>684</v>
      </c>
      <c r="G95" s="32" t="s">
        <v>430</v>
      </c>
      <c r="H95" s="32" t="s">
        <v>311</v>
      </c>
      <c r="I95" s="32" t="s">
        <v>685</v>
      </c>
      <c r="J95" s="32" t="s">
        <v>686</v>
      </c>
      <c r="K95" s="32" t="s">
        <v>687</v>
      </c>
      <c r="L95" s="32" t="s">
        <v>688</v>
      </c>
      <c r="M95" s="32" t="s">
        <v>689</v>
      </c>
    </row>
    <row r="96" spans="1:13" ht="27.6">
      <c r="A96" s="31">
        <v>46344</v>
      </c>
      <c r="B96" s="32">
        <v>24</v>
      </c>
      <c r="C96" s="32" t="s">
        <v>390</v>
      </c>
      <c r="D96" s="32" t="s">
        <v>530</v>
      </c>
      <c r="E96" s="32" t="s">
        <v>683</v>
      </c>
      <c r="F96" s="32" t="s">
        <v>690</v>
      </c>
      <c r="G96" s="32" t="s">
        <v>437</v>
      </c>
      <c r="H96" s="32" t="s">
        <v>311</v>
      </c>
      <c r="I96" s="32" t="s">
        <v>685</v>
      </c>
      <c r="J96" s="32" t="s">
        <v>686</v>
      </c>
      <c r="K96" s="32" t="s">
        <v>687</v>
      </c>
      <c r="L96" s="32" t="s">
        <v>688</v>
      </c>
      <c r="M96" s="32" t="s">
        <v>689</v>
      </c>
    </row>
    <row r="97" spans="1:13" ht="27.6">
      <c r="A97" s="31">
        <v>46344</v>
      </c>
      <c r="B97" s="32">
        <v>24</v>
      </c>
      <c r="C97" s="32" t="s">
        <v>390</v>
      </c>
      <c r="D97" s="32" t="s">
        <v>530</v>
      </c>
      <c r="E97" s="32" t="s">
        <v>683</v>
      </c>
      <c r="F97" s="32" t="s">
        <v>691</v>
      </c>
      <c r="G97" s="32" t="s">
        <v>439</v>
      </c>
      <c r="H97" s="32" t="s">
        <v>311</v>
      </c>
      <c r="I97" s="32" t="s">
        <v>685</v>
      </c>
      <c r="J97" s="32" t="s">
        <v>686</v>
      </c>
      <c r="K97" s="32" t="s">
        <v>687</v>
      </c>
      <c r="L97" s="32" t="s">
        <v>688</v>
      </c>
      <c r="M97" s="32" t="s">
        <v>689</v>
      </c>
    </row>
    <row r="98" spans="1:13" ht="27.6">
      <c r="A98" s="31">
        <v>46344</v>
      </c>
      <c r="B98" s="32">
        <v>24</v>
      </c>
      <c r="C98" s="32" t="s">
        <v>390</v>
      </c>
      <c r="D98" s="32" t="s">
        <v>530</v>
      </c>
      <c r="E98" s="32" t="s">
        <v>683</v>
      </c>
      <c r="F98" s="32" t="s">
        <v>692</v>
      </c>
      <c r="G98" s="32" t="s">
        <v>441</v>
      </c>
      <c r="H98" s="32" t="s">
        <v>311</v>
      </c>
      <c r="I98" s="32" t="s">
        <v>685</v>
      </c>
      <c r="J98" s="32" t="s">
        <v>686</v>
      </c>
      <c r="K98" s="32" t="s">
        <v>687</v>
      </c>
      <c r="L98" s="32" t="s">
        <v>688</v>
      </c>
      <c r="M98" s="32" t="s">
        <v>689</v>
      </c>
    </row>
    <row r="99" spans="1:13" ht="27.6">
      <c r="A99" s="31">
        <v>46345</v>
      </c>
      <c r="B99" s="32">
        <v>25</v>
      </c>
      <c r="C99" s="32" t="s">
        <v>393</v>
      </c>
      <c r="D99" s="32" t="s">
        <v>693</v>
      </c>
      <c r="E99" s="32" t="s">
        <v>694</v>
      </c>
      <c r="F99" s="32" t="s">
        <v>695</v>
      </c>
      <c r="G99" s="32" t="s">
        <v>430</v>
      </c>
      <c r="H99" s="32" t="s">
        <v>311</v>
      </c>
      <c r="I99" s="32" t="s">
        <v>696</v>
      </c>
      <c r="J99" s="32" t="s">
        <v>697</v>
      </c>
      <c r="K99" s="32" t="s">
        <v>698</v>
      </c>
      <c r="L99" s="32" t="s">
        <v>699</v>
      </c>
      <c r="M99" s="32" t="s">
        <v>700</v>
      </c>
    </row>
    <row r="100" spans="1:13" ht="27.6">
      <c r="A100" s="31">
        <v>46345</v>
      </c>
      <c r="B100" s="32">
        <v>25</v>
      </c>
      <c r="C100" s="32" t="s">
        <v>393</v>
      </c>
      <c r="D100" s="32" t="s">
        <v>693</v>
      </c>
      <c r="E100" s="32" t="s">
        <v>694</v>
      </c>
      <c r="F100" s="32" t="s">
        <v>701</v>
      </c>
      <c r="G100" s="32" t="s">
        <v>437</v>
      </c>
      <c r="H100" s="32" t="s">
        <v>311</v>
      </c>
      <c r="I100" s="32" t="s">
        <v>696</v>
      </c>
      <c r="J100" s="32" t="s">
        <v>697</v>
      </c>
      <c r="K100" s="32" t="s">
        <v>698</v>
      </c>
      <c r="L100" s="32" t="s">
        <v>699</v>
      </c>
      <c r="M100" s="32" t="s">
        <v>700</v>
      </c>
    </row>
    <row r="101" spans="1:13" ht="27.6">
      <c r="A101" s="31">
        <v>46345</v>
      </c>
      <c r="B101" s="32">
        <v>25</v>
      </c>
      <c r="C101" s="32" t="s">
        <v>393</v>
      </c>
      <c r="D101" s="32" t="s">
        <v>693</v>
      </c>
      <c r="E101" s="32" t="s">
        <v>694</v>
      </c>
      <c r="F101" s="32" t="s">
        <v>702</v>
      </c>
      <c r="G101" s="32" t="s">
        <v>439</v>
      </c>
      <c r="H101" s="32" t="s">
        <v>311</v>
      </c>
      <c r="I101" s="32" t="s">
        <v>696</v>
      </c>
      <c r="J101" s="32" t="s">
        <v>697</v>
      </c>
      <c r="K101" s="32" t="s">
        <v>698</v>
      </c>
      <c r="L101" s="32" t="s">
        <v>699</v>
      </c>
      <c r="M101" s="32" t="s">
        <v>700</v>
      </c>
    </row>
    <row r="102" spans="1:13" ht="27.6">
      <c r="A102" s="31">
        <v>46345</v>
      </c>
      <c r="B102" s="32">
        <v>25</v>
      </c>
      <c r="C102" s="32" t="s">
        <v>393</v>
      </c>
      <c r="D102" s="32" t="s">
        <v>693</v>
      </c>
      <c r="E102" s="32" t="s">
        <v>694</v>
      </c>
      <c r="F102" s="32" t="s">
        <v>703</v>
      </c>
      <c r="G102" s="32" t="s">
        <v>441</v>
      </c>
      <c r="H102" s="32" t="s">
        <v>311</v>
      </c>
      <c r="I102" s="32" t="s">
        <v>696</v>
      </c>
      <c r="J102" s="32" t="s">
        <v>697</v>
      </c>
      <c r="K102" s="32" t="s">
        <v>698</v>
      </c>
      <c r="L102" s="32" t="s">
        <v>699</v>
      </c>
      <c r="M102" s="32" t="s">
        <v>700</v>
      </c>
    </row>
    <row r="103" spans="1:13" ht="27.6">
      <c r="A103" s="31">
        <v>46346</v>
      </c>
      <c r="B103" s="32">
        <v>26</v>
      </c>
      <c r="C103" s="32" t="s">
        <v>393</v>
      </c>
      <c r="D103" s="32" t="s">
        <v>704</v>
      </c>
      <c r="E103" s="32" t="s">
        <v>705</v>
      </c>
      <c r="F103" s="32" t="s">
        <v>706</v>
      </c>
      <c r="G103" s="32" t="s">
        <v>430</v>
      </c>
      <c r="H103" s="32" t="s">
        <v>311</v>
      </c>
      <c r="I103" s="32" t="s">
        <v>707</v>
      </c>
      <c r="J103" s="32" t="s">
        <v>708</v>
      </c>
      <c r="K103" s="32" t="s">
        <v>709</v>
      </c>
      <c r="L103" s="32" t="s">
        <v>710</v>
      </c>
      <c r="M103" s="32" t="s">
        <v>711</v>
      </c>
    </row>
    <row r="104" spans="1:13" ht="27.6">
      <c r="A104" s="31">
        <v>46346</v>
      </c>
      <c r="B104" s="32">
        <v>26</v>
      </c>
      <c r="C104" s="32" t="s">
        <v>393</v>
      </c>
      <c r="D104" s="32" t="s">
        <v>704</v>
      </c>
      <c r="E104" s="32" t="s">
        <v>705</v>
      </c>
      <c r="F104" s="32" t="s">
        <v>712</v>
      </c>
      <c r="G104" s="32" t="s">
        <v>437</v>
      </c>
      <c r="H104" s="32" t="s">
        <v>311</v>
      </c>
      <c r="I104" s="32" t="s">
        <v>707</v>
      </c>
      <c r="J104" s="32" t="s">
        <v>708</v>
      </c>
      <c r="K104" s="32" t="s">
        <v>709</v>
      </c>
      <c r="L104" s="32" t="s">
        <v>710</v>
      </c>
      <c r="M104" s="32" t="s">
        <v>711</v>
      </c>
    </row>
    <row r="105" spans="1:13" ht="27.6">
      <c r="A105" s="31">
        <v>46346</v>
      </c>
      <c r="B105" s="32">
        <v>26</v>
      </c>
      <c r="C105" s="32" t="s">
        <v>393</v>
      </c>
      <c r="D105" s="32" t="s">
        <v>704</v>
      </c>
      <c r="E105" s="32" t="s">
        <v>705</v>
      </c>
      <c r="F105" s="32" t="s">
        <v>713</v>
      </c>
      <c r="G105" s="32" t="s">
        <v>439</v>
      </c>
      <c r="H105" s="32" t="s">
        <v>311</v>
      </c>
      <c r="I105" s="32" t="s">
        <v>707</v>
      </c>
      <c r="J105" s="32" t="s">
        <v>708</v>
      </c>
      <c r="K105" s="32" t="s">
        <v>709</v>
      </c>
      <c r="L105" s="32" t="s">
        <v>710</v>
      </c>
      <c r="M105" s="32" t="s">
        <v>711</v>
      </c>
    </row>
    <row r="106" spans="1:13" ht="27.6">
      <c r="A106" s="31">
        <v>46346</v>
      </c>
      <c r="B106" s="32">
        <v>26</v>
      </c>
      <c r="C106" s="32" t="s">
        <v>393</v>
      </c>
      <c r="D106" s="32" t="s">
        <v>704</v>
      </c>
      <c r="E106" s="32" t="s">
        <v>705</v>
      </c>
      <c r="F106" s="32" t="s">
        <v>714</v>
      </c>
      <c r="G106" s="32" t="s">
        <v>441</v>
      </c>
      <c r="H106" s="32" t="s">
        <v>311</v>
      </c>
      <c r="I106" s="32" t="s">
        <v>707</v>
      </c>
      <c r="J106" s="32" t="s">
        <v>708</v>
      </c>
      <c r="K106" s="32" t="s">
        <v>709</v>
      </c>
      <c r="L106" s="32" t="s">
        <v>710</v>
      </c>
      <c r="M106" s="32" t="s">
        <v>711</v>
      </c>
    </row>
    <row r="107" spans="1:13" ht="27.6">
      <c r="A107" s="31">
        <v>46347</v>
      </c>
      <c r="B107" s="32">
        <v>27</v>
      </c>
      <c r="C107" s="32" t="s">
        <v>393</v>
      </c>
      <c r="D107" s="32" t="s">
        <v>715</v>
      </c>
      <c r="E107" s="32" t="s">
        <v>716</v>
      </c>
      <c r="F107" s="32" t="s">
        <v>717</v>
      </c>
      <c r="G107" s="32" t="s">
        <v>430</v>
      </c>
      <c r="H107" s="32" t="s">
        <v>311</v>
      </c>
      <c r="I107" s="32" t="s">
        <v>718</v>
      </c>
      <c r="J107" s="32" t="s">
        <v>719</v>
      </c>
      <c r="K107" s="32" t="s">
        <v>720</v>
      </c>
      <c r="L107" s="32" t="s">
        <v>721</v>
      </c>
      <c r="M107" s="32" t="s">
        <v>722</v>
      </c>
    </row>
    <row r="108" spans="1:13" ht="27.6">
      <c r="A108" s="31">
        <v>46347</v>
      </c>
      <c r="B108" s="32">
        <v>27</v>
      </c>
      <c r="C108" s="32" t="s">
        <v>393</v>
      </c>
      <c r="D108" s="32" t="s">
        <v>715</v>
      </c>
      <c r="E108" s="32" t="s">
        <v>716</v>
      </c>
      <c r="F108" s="32" t="s">
        <v>723</v>
      </c>
      <c r="G108" s="32" t="s">
        <v>437</v>
      </c>
      <c r="H108" s="32" t="s">
        <v>311</v>
      </c>
      <c r="I108" s="32" t="s">
        <v>718</v>
      </c>
      <c r="J108" s="32" t="s">
        <v>719</v>
      </c>
      <c r="K108" s="32" t="s">
        <v>720</v>
      </c>
      <c r="L108" s="32" t="s">
        <v>721</v>
      </c>
      <c r="M108" s="32" t="s">
        <v>722</v>
      </c>
    </row>
    <row r="109" spans="1:13" ht="27.6">
      <c r="A109" s="31">
        <v>46347</v>
      </c>
      <c r="B109" s="32">
        <v>27</v>
      </c>
      <c r="C109" s="32" t="s">
        <v>393</v>
      </c>
      <c r="D109" s="32" t="s">
        <v>715</v>
      </c>
      <c r="E109" s="32" t="s">
        <v>716</v>
      </c>
      <c r="F109" s="32" t="s">
        <v>724</v>
      </c>
      <c r="G109" s="32" t="s">
        <v>439</v>
      </c>
      <c r="H109" s="32" t="s">
        <v>311</v>
      </c>
      <c r="I109" s="32" t="s">
        <v>718</v>
      </c>
      <c r="J109" s="32" t="s">
        <v>719</v>
      </c>
      <c r="K109" s="32" t="s">
        <v>720</v>
      </c>
      <c r="L109" s="32" t="s">
        <v>721</v>
      </c>
      <c r="M109" s="32" t="s">
        <v>722</v>
      </c>
    </row>
    <row r="110" spans="1:13" ht="27.6">
      <c r="A110" s="31">
        <v>46347</v>
      </c>
      <c r="B110" s="32">
        <v>27</v>
      </c>
      <c r="C110" s="32" t="s">
        <v>393</v>
      </c>
      <c r="D110" s="32" t="s">
        <v>715</v>
      </c>
      <c r="E110" s="32" t="s">
        <v>716</v>
      </c>
      <c r="F110" s="32" t="s">
        <v>725</v>
      </c>
      <c r="G110" s="32" t="s">
        <v>441</v>
      </c>
      <c r="H110" s="32" t="s">
        <v>311</v>
      </c>
      <c r="I110" s="32" t="s">
        <v>718</v>
      </c>
      <c r="J110" s="32" t="s">
        <v>719</v>
      </c>
      <c r="K110" s="32" t="s">
        <v>720</v>
      </c>
      <c r="L110" s="32" t="s">
        <v>721</v>
      </c>
      <c r="M110" s="32" t="s">
        <v>722</v>
      </c>
    </row>
    <row r="111" spans="1:13" ht="27.6">
      <c r="A111" s="31">
        <v>46348</v>
      </c>
      <c r="B111" s="32">
        <v>28</v>
      </c>
      <c r="C111" s="32" t="s">
        <v>393</v>
      </c>
      <c r="D111" s="32" t="s">
        <v>726</v>
      </c>
      <c r="E111" s="32" t="s">
        <v>727</v>
      </c>
      <c r="F111" s="32" t="s">
        <v>728</v>
      </c>
      <c r="G111" s="32" t="s">
        <v>430</v>
      </c>
      <c r="H111" s="32" t="s">
        <v>311</v>
      </c>
      <c r="I111" s="32" t="s">
        <v>729</v>
      </c>
      <c r="J111" s="32" t="s">
        <v>730</v>
      </c>
      <c r="K111" s="32" t="s">
        <v>731</v>
      </c>
      <c r="L111" s="32" t="s">
        <v>732</v>
      </c>
      <c r="M111" s="32" t="s">
        <v>733</v>
      </c>
    </row>
    <row r="112" spans="1:13" ht="27.6">
      <c r="A112" s="31">
        <v>46348</v>
      </c>
      <c r="B112" s="32">
        <v>28</v>
      </c>
      <c r="C112" s="32" t="s">
        <v>393</v>
      </c>
      <c r="D112" s="32" t="s">
        <v>726</v>
      </c>
      <c r="E112" s="32" t="s">
        <v>727</v>
      </c>
      <c r="F112" s="32" t="s">
        <v>734</v>
      </c>
      <c r="G112" s="32" t="s">
        <v>437</v>
      </c>
      <c r="H112" s="32" t="s">
        <v>311</v>
      </c>
      <c r="I112" s="32" t="s">
        <v>729</v>
      </c>
      <c r="J112" s="32" t="s">
        <v>730</v>
      </c>
      <c r="K112" s="32" t="s">
        <v>731</v>
      </c>
      <c r="L112" s="32" t="s">
        <v>732</v>
      </c>
      <c r="M112" s="32" t="s">
        <v>733</v>
      </c>
    </row>
    <row r="113" spans="1:13" ht="27.6">
      <c r="A113" s="31">
        <v>46348</v>
      </c>
      <c r="B113" s="32">
        <v>28</v>
      </c>
      <c r="C113" s="32" t="s">
        <v>393</v>
      </c>
      <c r="D113" s="32" t="s">
        <v>726</v>
      </c>
      <c r="E113" s="32" t="s">
        <v>727</v>
      </c>
      <c r="F113" s="32" t="s">
        <v>735</v>
      </c>
      <c r="G113" s="32" t="s">
        <v>439</v>
      </c>
      <c r="H113" s="32" t="s">
        <v>311</v>
      </c>
      <c r="I113" s="32" t="s">
        <v>729</v>
      </c>
      <c r="J113" s="32" t="s">
        <v>730</v>
      </c>
      <c r="K113" s="32" t="s">
        <v>731</v>
      </c>
      <c r="L113" s="32" t="s">
        <v>732</v>
      </c>
      <c r="M113" s="32" t="s">
        <v>733</v>
      </c>
    </row>
    <row r="114" spans="1:13" ht="27.6">
      <c r="A114" s="31">
        <v>46348</v>
      </c>
      <c r="B114" s="32">
        <v>28</v>
      </c>
      <c r="C114" s="32" t="s">
        <v>393</v>
      </c>
      <c r="D114" s="32" t="s">
        <v>726</v>
      </c>
      <c r="E114" s="32" t="s">
        <v>727</v>
      </c>
      <c r="F114" s="32" t="s">
        <v>736</v>
      </c>
      <c r="G114" s="32" t="s">
        <v>441</v>
      </c>
      <c r="H114" s="32" t="s">
        <v>311</v>
      </c>
      <c r="I114" s="32" t="s">
        <v>729</v>
      </c>
      <c r="J114" s="32" t="s">
        <v>730</v>
      </c>
      <c r="K114" s="32" t="s">
        <v>731</v>
      </c>
      <c r="L114" s="32" t="s">
        <v>732</v>
      </c>
      <c r="M114" s="32" t="s">
        <v>733</v>
      </c>
    </row>
    <row r="115" spans="1:13" ht="27.6">
      <c r="A115" s="31">
        <v>46349</v>
      </c>
      <c r="B115" s="32">
        <v>29</v>
      </c>
      <c r="C115" s="32" t="s">
        <v>393</v>
      </c>
      <c r="D115" s="32" t="s">
        <v>737</v>
      </c>
      <c r="E115" s="32" t="s">
        <v>738</v>
      </c>
      <c r="F115" s="32" t="s">
        <v>739</v>
      </c>
      <c r="G115" s="32" t="s">
        <v>430</v>
      </c>
      <c r="H115" s="32" t="s">
        <v>311</v>
      </c>
      <c r="I115" s="32" t="s">
        <v>740</v>
      </c>
      <c r="J115" s="32" t="s">
        <v>741</v>
      </c>
      <c r="K115" s="32" t="s">
        <v>742</v>
      </c>
      <c r="L115" s="32" t="s">
        <v>743</v>
      </c>
      <c r="M115" s="32" t="s">
        <v>744</v>
      </c>
    </row>
    <row r="116" spans="1:13" ht="27.6">
      <c r="A116" s="31">
        <v>46349</v>
      </c>
      <c r="B116" s="32">
        <v>29</v>
      </c>
      <c r="C116" s="32" t="s">
        <v>393</v>
      </c>
      <c r="D116" s="32" t="s">
        <v>737</v>
      </c>
      <c r="E116" s="32" t="s">
        <v>738</v>
      </c>
      <c r="F116" s="32" t="s">
        <v>745</v>
      </c>
      <c r="G116" s="32" t="s">
        <v>437</v>
      </c>
      <c r="H116" s="32" t="s">
        <v>311</v>
      </c>
      <c r="I116" s="32" t="s">
        <v>740</v>
      </c>
      <c r="J116" s="32" t="s">
        <v>741</v>
      </c>
      <c r="K116" s="32" t="s">
        <v>742</v>
      </c>
      <c r="L116" s="32" t="s">
        <v>743</v>
      </c>
      <c r="M116" s="32" t="s">
        <v>744</v>
      </c>
    </row>
    <row r="117" spans="1:13" ht="27.6">
      <c r="A117" s="31">
        <v>46349</v>
      </c>
      <c r="B117" s="32">
        <v>29</v>
      </c>
      <c r="C117" s="32" t="s">
        <v>393</v>
      </c>
      <c r="D117" s="32" t="s">
        <v>737</v>
      </c>
      <c r="E117" s="32" t="s">
        <v>738</v>
      </c>
      <c r="F117" s="32" t="s">
        <v>746</v>
      </c>
      <c r="G117" s="32" t="s">
        <v>439</v>
      </c>
      <c r="H117" s="32" t="s">
        <v>311</v>
      </c>
      <c r="I117" s="32" t="s">
        <v>740</v>
      </c>
      <c r="J117" s="32" t="s">
        <v>741</v>
      </c>
      <c r="K117" s="32" t="s">
        <v>742</v>
      </c>
      <c r="L117" s="32" t="s">
        <v>743</v>
      </c>
      <c r="M117" s="32" t="s">
        <v>744</v>
      </c>
    </row>
    <row r="118" spans="1:13" ht="27.6">
      <c r="A118" s="31">
        <v>46349</v>
      </c>
      <c r="B118" s="32">
        <v>29</v>
      </c>
      <c r="C118" s="32" t="s">
        <v>393</v>
      </c>
      <c r="D118" s="32" t="s">
        <v>737</v>
      </c>
      <c r="E118" s="32" t="s">
        <v>738</v>
      </c>
      <c r="F118" s="32" t="s">
        <v>747</v>
      </c>
      <c r="G118" s="32" t="s">
        <v>441</v>
      </c>
      <c r="H118" s="32" t="s">
        <v>311</v>
      </c>
      <c r="I118" s="32" t="s">
        <v>740</v>
      </c>
      <c r="J118" s="32" t="s">
        <v>741</v>
      </c>
      <c r="K118" s="32" t="s">
        <v>742</v>
      </c>
      <c r="L118" s="32" t="s">
        <v>743</v>
      </c>
      <c r="M118" s="32" t="s">
        <v>744</v>
      </c>
    </row>
    <row r="119" spans="1:13" ht="27.6">
      <c r="A119" s="31">
        <v>46350</v>
      </c>
      <c r="B119" s="32">
        <v>30</v>
      </c>
      <c r="C119" s="32" t="s">
        <v>393</v>
      </c>
      <c r="D119" s="32" t="s">
        <v>748</v>
      </c>
      <c r="E119" s="32" t="s">
        <v>749</v>
      </c>
      <c r="F119" s="32" t="s">
        <v>750</v>
      </c>
      <c r="G119" s="32" t="s">
        <v>430</v>
      </c>
      <c r="H119" s="32" t="s">
        <v>311</v>
      </c>
      <c r="I119" s="32" t="s">
        <v>751</v>
      </c>
      <c r="J119" s="32" t="s">
        <v>752</v>
      </c>
      <c r="K119" s="32" t="s">
        <v>753</v>
      </c>
      <c r="L119" s="32" t="s">
        <v>754</v>
      </c>
      <c r="M119" s="32" t="s">
        <v>755</v>
      </c>
    </row>
    <row r="120" spans="1:13" ht="27.6">
      <c r="A120" s="31">
        <v>46350</v>
      </c>
      <c r="B120" s="32">
        <v>30</v>
      </c>
      <c r="C120" s="32" t="s">
        <v>393</v>
      </c>
      <c r="D120" s="32" t="s">
        <v>748</v>
      </c>
      <c r="E120" s="32" t="s">
        <v>749</v>
      </c>
      <c r="F120" s="32" t="s">
        <v>756</v>
      </c>
      <c r="G120" s="32" t="s">
        <v>437</v>
      </c>
      <c r="H120" s="32" t="s">
        <v>311</v>
      </c>
      <c r="I120" s="32" t="s">
        <v>751</v>
      </c>
      <c r="J120" s="32" t="s">
        <v>752</v>
      </c>
      <c r="K120" s="32" t="s">
        <v>753</v>
      </c>
      <c r="L120" s="32" t="s">
        <v>754</v>
      </c>
      <c r="M120" s="32" t="s">
        <v>755</v>
      </c>
    </row>
    <row r="121" spans="1:13" ht="27.6">
      <c r="A121" s="31">
        <v>46350</v>
      </c>
      <c r="B121" s="32">
        <v>30</v>
      </c>
      <c r="C121" s="32" t="s">
        <v>393</v>
      </c>
      <c r="D121" s="32" t="s">
        <v>748</v>
      </c>
      <c r="E121" s="32" t="s">
        <v>749</v>
      </c>
      <c r="F121" s="32" t="s">
        <v>757</v>
      </c>
      <c r="G121" s="32" t="s">
        <v>439</v>
      </c>
      <c r="H121" s="32" t="s">
        <v>311</v>
      </c>
      <c r="I121" s="32" t="s">
        <v>751</v>
      </c>
      <c r="J121" s="32" t="s">
        <v>752</v>
      </c>
      <c r="K121" s="32" t="s">
        <v>753</v>
      </c>
      <c r="L121" s="32" t="s">
        <v>754</v>
      </c>
      <c r="M121" s="32" t="s">
        <v>755</v>
      </c>
    </row>
    <row r="122" spans="1:13" ht="27.6">
      <c r="A122" s="31">
        <v>46350</v>
      </c>
      <c r="B122" s="32">
        <v>30</v>
      </c>
      <c r="C122" s="32" t="s">
        <v>393</v>
      </c>
      <c r="D122" s="32" t="s">
        <v>748</v>
      </c>
      <c r="E122" s="32" t="s">
        <v>749</v>
      </c>
      <c r="F122" s="32" t="s">
        <v>758</v>
      </c>
      <c r="G122" s="32" t="s">
        <v>441</v>
      </c>
      <c r="H122" s="32" t="s">
        <v>311</v>
      </c>
      <c r="I122" s="32" t="s">
        <v>751</v>
      </c>
      <c r="J122" s="32" t="s">
        <v>752</v>
      </c>
      <c r="K122" s="32" t="s">
        <v>753</v>
      </c>
      <c r="L122" s="32" t="s">
        <v>754</v>
      </c>
      <c r="M122" s="32" t="s">
        <v>755</v>
      </c>
    </row>
    <row r="123" spans="1:13" ht="27.6">
      <c r="A123" s="31">
        <v>46351</v>
      </c>
      <c r="B123" s="32">
        <v>31</v>
      </c>
      <c r="C123" s="32" t="s">
        <v>393</v>
      </c>
      <c r="D123" s="32" t="s">
        <v>759</v>
      </c>
      <c r="E123" s="32" t="s">
        <v>760</v>
      </c>
      <c r="F123" s="32" t="s">
        <v>761</v>
      </c>
      <c r="G123" s="32" t="s">
        <v>430</v>
      </c>
      <c r="H123" s="32" t="s">
        <v>311</v>
      </c>
      <c r="I123" s="32" t="s">
        <v>762</v>
      </c>
      <c r="J123" s="32" t="s">
        <v>763</v>
      </c>
      <c r="K123" s="32" t="s">
        <v>764</v>
      </c>
      <c r="L123" s="32" t="s">
        <v>765</v>
      </c>
      <c r="M123" s="32" t="s">
        <v>766</v>
      </c>
    </row>
    <row r="124" spans="1:13" ht="27.6">
      <c r="A124" s="31">
        <v>46351</v>
      </c>
      <c r="B124" s="32">
        <v>31</v>
      </c>
      <c r="C124" s="32" t="s">
        <v>393</v>
      </c>
      <c r="D124" s="32" t="s">
        <v>759</v>
      </c>
      <c r="E124" s="32" t="s">
        <v>760</v>
      </c>
      <c r="F124" s="32" t="s">
        <v>767</v>
      </c>
      <c r="G124" s="32" t="s">
        <v>437</v>
      </c>
      <c r="H124" s="32" t="s">
        <v>311</v>
      </c>
      <c r="I124" s="32" t="s">
        <v>762</v>
      </c>
      <c r="J124" s="32" t="s">
        <v>763</v>
      </c>
      <c r="K124" s="32" t="s">
        <v>764</v>
      </c>
      <c r="L124" s="32" t="s">
        <v>765</v>
      </c>
      <c r="M124" s="32" t="s">
        <v>766</v>
      </c>
    </row>
    <row r="125" spans="1:13" ht="27.6">
      <c r="A125" s="31">
        <v>46351</v>
      </c>
      <c r="B125" s="32">
        <v>31</v>
      </c>
      <c r="C125" s="32" t="s">
        <v>393</v>
      </c>
      <c r="D125" s="32" t="s">
        <v>759</v>
      </c>
      <c r="E125" s="32" t="s">
        <v>760</v>
      </c>
      <c r="F125" s="32" t="s">
        <v>768</v>
      </c>
      <c r="G125" s="32" t="s">
        <v>439</v>
      </c>
      <c r="H125" s="32" t="s">
        <v>311</v>
      </c>
      <c r="I125" s="32" t="s">
        <v>762</v>
      </c>
      <c r="J125" s="32" t="s">
        <v>763</v>
      </c>
      <c r="K125" s="32" t="s">
        <v>764</v>
      </c>
      <c r="L125" s="32" t="s">
        <v>765</v>
      </c>
      <c r="M125" s="32" t="s">
        <v>766</v>
      </c>
    </row>
    <row r="126" spans="1:13" ht="27.6">
      <c r="A126" s="31">
        <v>46351</v>
      </c>
      <c r="B126" s="32">
        <v>31</v>
      </c>
      <c r="C126" s="32" t="s">
        <v>393</v>
      </c>
      <c r="D126" s="32" t="s">
        <v>759</v>
      </c>
      <c r="E126" s="32" t="s">
        <v>760</v>
      </c>
      <c r="F126" s="32" t="s">
        <v>769</v>
      </c>
      <c r="G126" s="32" t="s">
        <v>441</v>
      </c>
      <c r="H126" s="32" t="s">
        <v>311</v>
      </c>
      <c r="I126" s="32" t="s">
        <v>762</v>
      </c>
      <c r="J126" s="32" t="s">
        <v>763</v>
      </c>
      <c r="K126" s="32" t="s">
        <v>764</v>
      </c>
      <c r="L126" s="32" t="s">
        <v>765</v>
      </c>
      <c r="M126" s="32" t="s">
        <v>766</v>
      </c>
    </row>
    <row r="127" spans="1:13" ht="27.6">
      <c r="A127" s="31">
        <v>46352</v>
      </c>
      <c r="B127" s="32">
        <v>32</v>
      </c>
      <c r="C127" s="32" t="s">
        <v>393</v>
      </c>
      <c r="D127" s="32" t="s">
        <v>770</v>
      </c>
      <c r="E127" s="32" t="s">
        <v>771</v>
      </c>
      <c r="F127" s="32" t="s">
        <v>772</v>
      </c>
      <c r="G127" s="32" t="s">
        <v>430</v>
      </c>
      <c r="H127" s="32" t="s">
        <v>311</v>
      </c>
      <c r="I127" s="32" t="s">
        <v>773</v>
      </c>
      <c r="J127" s="32" t="s">
        <v>774</v>
      </c>
      <c r="K127" s="32" t="s">
        <v>775</v>
      </c>
      <c r="L127" s="32" t="s">
        <v>776</v>
      </c>
      <c r="M127" s="32" t="s">
        <v>777</v>
      </c>
    </row>
    <row r="128" spans="1:13" ht="27.6">
      <c r="A128" s="31">
        <v>46352</v>
      </c>
      <c r="B128" s="32">
        <v>32</v>
      </c>
      <c r="C128" s="32" t="s">
        <v>393</v>
      </c>
      <c r="D128" s="32" t="s">
        <v>770</v>
      </c>
      <c r="E128" s="32" t="s">
        <v>771</v>
      </c>
      <c r="F128" s="32" t="s">
        <v>778</v>
      </c>
      <c r="G128" s="32" t="s">
        <v>437</v>
      </c>
      <c r="H128" s="32" t="s">
        <v>311</v>
      </c>
      <c r="I128" s="32" t="s">
        <v>773</v>
      </c>
      <c r="J128" s="32" t="s">
        <v>774</v>
      </c>
      <c r="K128" s="32" t="s">
        <v>775</v>
      </c>
      <c r="L128" s="32" t="s">
        <v>776</v>
      </c>
      <c r="M128" s="32" t="s">
        <v>777</v>
      </c>
    </row>
    <row r="129" spans="1:13" ht="27.6">
      <c r="A129" s="31">
        <v>46352</v>
      </c>
      <c r="B129" s="32">
        <v>32</v>
      </c>
      <c r="C129" s="32" t="s">
        <v>393</v>
      </c>
      <c r="D129" s="32" t="s">
        <v>770</v>
      </c>
      <c r="E129" s="32" t="s">
        <v>771</v>
      </c>
      <c r="F129" s="32" t="s">
        <v>779</v>
      </c>
      <c r="G129" s="32" t="s">
        <v>439</v>
      </c>
      <c r="H129" s="32" t="s">
        <v>311</v>
      </c>
      <c r="I129" s="32" t="s">
        <v>773</v>
      </c>
      <c r="J129" s="32" t="s">
        <v>774</v>
      </c>
      <c r="K129" s="32" t="s">
        <v>775</v>
      </c>
      <c r="L129" s="32" t="s">
        <v>776</v>
      </c>
      <c r="M129" s="32" t="s">
        <v>777</v>
      </c>
    </row>
    <row r="130" spans="1:13" ht="27.6">
      <c r="A130" s="31">
        <v>46352</v>
      </c>
      <c r="B130" s="32">
        <v>32</v>
      </c>
      <c r="C130" s="32" t="s">
        <v>393</v>
      </c>
      <c r="D130" s="32" t="s">
        <v>770</v>
      </c>
      <c r="E130" s="32" t="s">
        <v>771</v>
      </c>
      <c r="F130" s="32" t="s">
        <v>780</v>
      </c>
      <c r="G130" s="32" t="s">
        <v>441</v>
      </c>
      <c r="H130" s="32" t="s">
        <v>311</v>
      </c>
      <c r="I130" s="32" t="s">
        <v>773</v>
      </c>
      <c r="J130" s="32" t="s">
        <v>774</v>
      </c>
      <c r="K130" s="32" t="s">
        <v>775</v>
      </c>
      <c r="L130" s="32" t="s">
        <v>776</v>
      </c>
      <c r="M130" s="32" t="s">
        <v>777</v>
      </c>
    </row>
    <row r="131" spans="1:13" ht="27.6">
      <c r="A131" s="31">
        <v>46353</v>
      </c>
      <c r="B131" s="32">
        <v>33</v>
      </c>
      <c r="C131" s="32" t="s">
        <v>393</v>
      </c>
      <c r="D131" s="32" t="s">
        <v>781</v>
      </c>
      <c r="E131" s="32" t="s">
        <v>782</v>
      </c>
      <c r="F131" s="32" t="s">
        <v>783</v>
      </c>
      <c r="G131" s="32" t="s">
        <v>430</v>
      </c>
      <c r="H131" s="32" t="s">
        <v>311</v>
      </c>
      <c r="I131" s="32" t="s">
        <v>784</v>
      </c>
      <c r="J131" s="32" t="s">
        <v>785</v>
      </c>
      <c r="K131" s="32" t="s">
        <v>786</v>
      </c>
      <c r="L131" s="32" t="s">
        <v>787</v>
      </c>
      <c r="M131" s="32" t="s">
        <v>788</v>
      </c>
    </row>
    <row r="132" spans="1:13" ht="27.6">
      <c r="A132" s="31">
        <v>46353</v>
      </c>
      <c r="B132" s="32">
        <v>33</v>
      </c>
      <c r="C132" s="32" t="s">
        <v>393</v>
      </c>
      <c r="D132" s="32" t="s">
        <v>781</v>
      </c>
      <c r="E132" s="32" t="s">
        <v>782</v>
      </c>
      <c r="F132" s="32" t="s">
        <v>789</v>
      </c>
      <c r="G132" s="32" t="s">
        <v>437</v>
      </c>
      <c r="H132" s="32" t="s">
        <v>311</v>
      </c>
      <c r="I132" s="32" t="s">
        <v>784</v>
      </c>
      <c r="J132" s="32" t="s">
        <v>785</v>
      </c>
      <c r="K132" s="32" t="s">
        <v>786</v>
      </c>
      <c r="L132" s="32" t="s">
        <v>787</v>
      </c>
      <c r="M132" s="32" t="s">
        <v>788</v>
      </c>
    </row>
    <row r="133" spans="1:13" ht="27.6">
      <c r="A133" s="31">
        <v>46353</v>
      </c>
      <c r="B133" s="32">
        <v>33</v>
      </c>
      <c r="C133" s="32" t="s">
        <v>393</v>
      </c>
      <c r="D133" s="32" t="s">
        <v>781</v>
      </c>
      <c r="E133" s="32" t="s">
        <v>782</v>
      </c>
      <c r="F133" s="32" t="s">
        <v>790</v>
      </c>
      <c r="G133" s="32" t="s">
        <v>439</v>
      </c>
      <c r="H133" s="32" t="s">
        <v>311</v>
      </c>
      <c r="I133" s="32" t="s">
        <v>784</v>
      </c>
      <c r="J133" s="32" t="s">
        <v>785</v>
      </c>
      <c r="K133" s="32" t="s">
        <v>786</v>
      </c>
      <c r="L133" s="32" t="s">
        <v>787</v>
      </c>
      <c r="M133" s="32" t="s">
        <v>788</v>
      </c>
    </row>
    <row r="134" spans="1:13" ht="27.6">
      <c r="A134" s="31">
        <v>46353</v>
      </c>
      <c r="B134" s="32">
        <v>33</v>
      </c>
      <c r="C134" s="32" t="s">
        <v>393</v>
      </c>
      <c r="D134" s="32" t="s">
        <v>781</v>
      </c>
      <c r="E134" s="32" t="s">
        <v>782</v>
      </c>
      <c r="F134" s="32" t="s">
        <v>791</v>
      </c>
      <c r="G134" s="32" t="s">
        <v>441</v>
      </c>
      <c r="H134" s="32" t="s">
        <v>311</v>
      </c>
      <c r="I134" s="32" t="s">
        <v>784</v>
      </c>
      <c r="J134" s="32" t="s">
        <v>785</v>
      </c>
      <c r="K134" s="32" t="s">
        <v>786</v>
      </c>
      <c r="L134" s="32" t="s">
        <v>787</v>
      </c>
      <c r="M134" s="32" t="s">
        <v>788</v>
      </c>
    </row>
    <row r="135" spans="1:13" ht="27.6">
      <c r="A135" s="31">
        <v>46354</v>
      </c>
      <c r="B135" s="32">
        <v>34</v>
      </c>
      <c r="C135" s="32" t="s">
        <v>393</v>
      </c>
      <c r="D135" s="32" t="s">
        <v>792</v>
      </c>
      <c r="E135" s="32" t="s">
        <v>793</v>
      </c>
      <c r="F135" s="32" t="s">
        <v>794</v>
      </c>
      <c r="G135" s="32" t="s">
        <v>430</v>
      </c>
      <c r="H135" s="32" t="s">
        <v>311</v>
      </c>
      <c r="I135" s="32" t="s">
        <v>795</v>
      </c>
      <c r="J135" s="32" t="s">
        <v>796</v>
      </c>
      <c r="K135" s="32" t="s">
        <v>797</v>
      </c>
      <c r="L135" s="32" t="s">
        <v>798</v>
      </c>
      <c r="M135" s="32" t="s">
        <v>799</v>
      </c>
    </row>
    <row r="136" spans="1:13" ht="27.6">
      <c r="A136" s="31">
        <v>46354</v>
      </c>
      <c r="B136" s="32">
        <v>34</v>
      </c>
      <c r="C136" s="32" t="s">
        <v>393</v>
      </c>
      <c r="D136" s="32" t="s">
        <v>792</v>
      </c>
      <c r="E136" s="32" t="s">
        <v>793</v>
      </c>
      <c r="F136" s="32" t="s">
        <v>800</v>
      </c>
      <c r="G136" s="32" t="s">
        <v>437</v>
      </c>
      <c r="H136" s="32" t="s">
        <v>311</v>
      </c>
      <c r="I136" s="32" t="s">
        <v>795</v>
      </c>
      <c r="J136" s="32" t="s">
        <v>796</v>
      </c>
      <c r="K136" s="32" t="s">
        <v>797</v>
      </c>
      <c r="L136" s="32" t="s">
        <v>798</v>
      </c>
      <c r="M136" s="32" t="s">
        <v>799</v>
      </c>
    </row>
    <row r="137" spans="1:13" ht="27.6">
      <c r="A137" s="31">
        <v>46354</v>
      </c>
      <c r="B137" s="32">
        <v>34</v>
      </c>
      <c r="C137" s="32" t="s">
        <v>393</v>
      </c>
      <c r="D137" s="32" t="s">
        <v>792</v>
      </c>
      <c r="E137" s="32" t="s">
        <v>793</v>
      </c>
      <c r="F137" s="32" t="s">
        <v>801</v>
      </c>
      <c r="G137" s="32" t="s">
        <v>439</v>
      </c>
      <c r="H137" s="32" t="s">
        <v>311</v>
      </c>
      <c r="I137" s="32" t="s">
        <v>795</v>
      </c>
      <c r="J137" s="32" t="s">
        <v>796</v>
      </c>
      <c r="K137" s="32" t="s">
        <v>797</v>
      </c>
      <c r="L137" s="32" t="s">
        <v>798</v>
      </c>
      <c r="M137" s="32" t="s">
        <v>799</v>
      </c>
    </row>
    <row r="138" spans="1:13" ht="27.6">
      <c r="A138" s="31">
        <v>46354</v>
      </c>
      <c r="B138" s="32">
        <v>34</v>
      </c>
      <c r="C138" s="32" t="s">
        <v>393</v>
      </c>
      <c r="D138" s="32" t="s">
        <v>792</v>
      </c>
      <c r="E138" s="32" t="s">
        <v>793</v>
      </c>
      <c r="F138" s="32" t="s">
        <v>802</v>
      </c>
      <c r="G138" s="32" t="s">
        <v>441</v>
      </c>
      <c r="H138" s="32" t="s">
        <v>311</v>
      </c>
      <c r="I138" s="32" t="s">
        <v>795</v>
      </c>
      <c r="J138" s="32" t="s">
        <v>796</v>
      </c>
      <c r="K138" s="32" t="s">
        <v>797</v>
      </c>
      <c r="L138" s="32" t="s">
        <v>798</v>
      </c>
      <c r="M138" s="32" t="s">
        <v>799</v>
      </c>
    </row>
    <row r="139" spans="1:13" ht="27.6">
      <c r="A139" s="31">
        <v>46355</v>
      </c>
      <c r="B139" s="32">
        <v>35</v>
      </c>
      <c r="C139" s="32" t="s">
        <v>393</v>
      </c>
      <c r="D139" s="32" t="s">
        <v>803</v>
      </c>
      <c r="E139" s="32" t="s">
        <v>804</v>
      </c>
      <c r="F139" s="32" t="s">
        <v>805</v>
      </c>
      <c r="G139" s="32" t="s">
        <v>430</v>
      </c>
      <c r="H139" s="32" t="s">
        <v>311</v>
      </c>
      <c r="I139" s="32" t="s">
        <v>806</v>
      </c>
      <c r="J139" s="32" t="s">
        <v>807</v>
      </c>
      <c r="K139" s="32" t="s">
        <v>808</v>
      </c>
      <c r="L139" s="32" t="s">
        <v>809</v>
      </c>
      <c r="M139" s="32" t="s">
        <v>810</v>
      </c>
    </row>
    <row r="140" spans="1:13" ht="27.6">
      <c r="A140" s="31">
        <v>46355</v>
      </c>
      <c r="B140" s="32">
        <v>35</v>
      </c>
      <c r="C140" s="32" t="s">
        <v>393</v>
      </c>
      <c r="D140" s="32" t="s">
        <v>803</v>
      </c>
      <c r="E140" s="32" t="s">
        <v>804</v>
      </c>
      <c r="F140" s="32" t="s">
        <v>811</v>
      </c>
      <c r="G140" s="32" t="s">
        <v>437</v>
      </c>
      <c r="H140" s="32" t="s">
        <v>311</v>
      </c>
      <c r="I140" s="32" t="s">
        <v>806</v>
      </c>
      <c r="J140" s="32" t="s">
        <v>807</v>
      </c>
      <c r="K140" s="32" t="s">
        <v>808</v>
      </c>
      <c r="L140" s="32" t="s">
        <v>809</v>
      </c>
      <c r="M140" s="32" t="s">
        <v>810</v>
      </c>
    </row>
    <row r="141" spans="1:13" ht="27.6">
      <c r="A141" s="31">
        <v>46355</v>
      </c>
      <c r="B141" s="32">
        <v>35</v>
      </c>
      <c r="C141" s="32" t="s">
        <v>393</v>
      </c>
      <c r="D141" s="32" t="s">
        <v>803</v>
      </c>
      <c r="E141" s="32" t="s">
        <v>804</v>
      </c>
      <c r="F141" s="32" t="s">
        <v>812</v>
      </c>
      <c r="G141" s="32" t="s">
        <v>439</v>
      </c>
      <c r="H141" s="32" t="s">
        <v>311</v>
      </c>
      <c r="I141" s="32" t="s">
        <v>806</v>
      </c>
      <c r="J141" s="32" t="s">
        <v>807</v>
      </c>
      <c r="K141" s="32" t="s">
        <v>808</v>
      </c>
      <c r="L141" s="32" t="s">
        <v>809</v>
      </c>
      <c r="M141" s="32" t="s">
        <v>810</v>
      </c>
    </row>
    <row r="142" spans="1:13" ht="27.6">
      <c r="A142" s="31">
        <v>46355</v>
      </c>
      <c r="B142" s="32">
        <v>35</v>
      </c>
      <c r="C142" s="32" t="s">
        <v>393</v>
      </c>
      <c r="D142" s="32" t="s">
        <v>803</v>
      </c>
      <c r="E142" s="32" t="s">
        <v>804</v>
      </c>
      <c r="F142" s="32" t="s">
        <v>813</v>
      </c>
      <c r="G142" s="32" t="s">
        <v>441</v>
      </c>
      <c r="H142" s="32" t="s">
        <v>311</v>
      </c>
      <c r="I142" s="32" t="s">
        <v>806</v>
      </c>
      <c r="J142" s="32" t="s">
        <v>807</v>
      </c>
      <c r="K142" s="32" t="s">
        <v>808</v>
      </c>
      <c r="L142" s="32" t="s">
        <v>809</v>
      </c>
      <c r="M142" s="32" t="s">
        <v>810</v>
      </c>
    </row>
    <row r="143" spans="1:13" ht="41.4">
      <c r="A143" s="31">
        <v>46356</v>
      </c>
      <c r="B143" s="32">
        <v>36</v>
      </c>
      <c r="C143" s="32" t="s">
        <v>393</v>
      </c>
      <c r="D143" s="32" t="s">
        <v>814</v>
      </c>
      <c r="E143" s="32" t="s">
        <v>815</v>
      </c>
      <c r="F143" s="32" t="s">
        <v>816</v>
      </c>
      <c r="G143" s="32" t="s">
        <v>430</v>
      </c>
      <c r="H143" s="32" t="s">
        <v>311</v>
      </c>
      <c r="I143" s="32" t="s">
        <v>817</v>
      </c>
      <c r="J143" s="32" t="s">
        <v>818</v>
      </c>
      <c r="K143" s="32" t="s">
        <v>819</v>
      </c>
      <c r="L143" s="32" t="s">
        <v>820</v>
      </c>
      <c r="M143" s="32" t="s">
        <v>821</v>
      </c>
    </row>
    <row r="144" spans="1:13" ht="41.4">
      <c r="A144" s="31">
        <v>46356</v>
      </c>
      <c r="B144" s="32">
        <v>36</v>
      </c>
      <c r="C144" s="32" t="s">
        <v>393</v>
      </c>
      <c r="D144" s="32" t="s">
        <v>814</v>
      </c>
      <c r="E144" s="32" t="s">
        <v>815</v>
      </c>
      <c r="F144" s="32" t="s">
        <v>822</v>
      </c>
      <c r="G144" s="32" t="s">
        <v>437</v>
      </c>
      <c r="H144" s="32" t="s">
        <v>311</v>
      </c>
      <c r="I144" s="32" t="s">
        <v>817</v>
      </c>
      <c r="J144" s="32" t="s">
        <v>818</v>
      </c>
      <c r="K144" s="32" t="s">
        <v>819</v>
      </c>
      <c r="L144" s="32" t="s">
        <v>820</v>
      </c>
      <c r="M144" s="32" t="s">
        <v>821</v>
      </c>
    </row>
    <row r="145" spans="1:13" ht="41.4">
      <c r="A145" s="31">
        <v>46356</v>
      </c>
      <c r="B145" s="32">
        <v>36</v>
      </c>
      <c r="C145" s="32" t="s">
        <v>393</v>
      </c>
      <c r="D145" s="32" t="s">
        <v>814</v>
      </c>
      <c r="E145" s="32" t="s">
        <v>815</v>
      </c>
      <c r="F145" s="32" t="s">
        <v>823</v>
      </c>
      <c r="G145" s="32" t="s">
        <v>439</v>
      </c>
      <c r="H145" s="32" t="s">
        <v>311</v>
      </c>
      <c r="I145" s="32" t="s">
        <v>817</v>
      </c>
      <c r="J145" s="32" t="s">
        <v>818</v>
      </c>
      <c r="K145" s="32" t="s">
        <v>819</v>
      </c>
      <c r="L145" s="32" t="s">
        <v>820</v>
      </c>
      <c r="M145" s="32" t="s">
        <v>821</v>
      </c>
    </row>
    <row r="146" spans="1:13" ht="41.4">
      <c r="A146" s="31">
        <v>46356</v>
      </c>
      <c r="B146" s="32">
        <v>36</v>
      </c>
      <c r="C146" s="32" t="s">
        <v>393</v>
      </c>
      <c r="D146" s="32" t="s">
        <v>814</v>
      </c>
      <c r="E146" s="32" t="s">
        <v>815</v>
      </c>
      <c r="F146" s="32" t="s">
        <v>824</v>
      </c>
      <c r="G146" s="32" t="s">
        <v>441</v>
      </c>
      <c r="H146" s="32" t="s">
        <v>311</v>
      </c>
      <c r="I146" s="32" t="s">
        <v>817</v>
      </c>
      <c r="J146" s="32" t="s">
        <v>818</v>
      </c>
      <c r="K146" s="32" t="s">
        <v>819</v>
      </c>
      <c r="L146" s="32" t="s">
        <v>820</v>
      </c>
      <c r="M146" s="32" t="s">
        <v>821</v>
      </c>
    </row>
  </sheetData>
  <mergeCells count="1">
    <mergeCell ref="A1:M1"/>
  </mergeCells>
  <conditionalFormatting sqref="H3:H146">
    <cfRule type="expression" dxfId="2" priority="1">
      <formula>H3="Done"</formula>
    </cfRule>
    <cfRule type="expression" dxfId="1" priority="2">
      <formula>H3="In progress"</formula>
    </cfRule>
    <cfRule type="expression" dxfId="0" priority="3">
      <formula>H3="Blocked"</formula>
    </cfRule>
  </conditionalFormatting>
  <dataValidations count="1">
    <dataValidation type="list" sqref="H3:H146" xr:uid="{00000000-0002-0000-0400-000000000000}">
      <formula1>"Not started,In progress,Done,Blocked,Skipped"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tabSelected="1" topLeftCell="D1" workbookViewId="0">
      <selection activeCell="F9" sqref="F9"/>
    </sheetView>
  </sheetViews>
  <sheetFormatPr defaultRowHeight="13.8"/>
  <cols>
    <col min="1" max="1" width="12" customWidth="1"/>
    <col min="2" max="2" width="31" customWidth="1"/>
    <col min="3" max="3" width="22" customWidth="1"/>
    <col min="4" max="4" width="34" customWidth="1"/>
    <col min="5" max="5" width="16" customWidth="1"/>
    <col min="6" max="7" width="32" customWidth="1"/>
    <col min="8" max="8" width="38" customWidth="1"/>
    <col min="9" max="11" width="34" customWidth="1"/>
    <col min="12" max="12" width="18" customWidth="1"/>
    <col min="13" max="13" width="28" customWidth="1"/>
  </cols>
  <sheetData>
    <row r="1" spans="1:13" ht="24" customHeight="1">
      <c r="A1" s="42" t="s">
        <v>825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7.6">
      <c r="A2" s="30" t="s">
        <v>3</v>
      </c>
      <c r="B2" s="30" t="s">
        <v>381</v>
      </c>
      <c r="C2" s="30" t="s">
        <v>417</v>
      </c>
      <c r="D2" s="30" t="s">
        <v>418</v>
      </c>
      <c r="E2" s="30" t="s">
        <v>826</v>
      </c>
      <c r="F2" s="30" t="s">
        <v>827</v>
      </c>
      <c r="G2" s="30" t="s">
        <v>828</v>
      </c>
      <c r="H2" s="30" t="s">
        <v>829</v>
      </c>
      <c r="I2" s="30" t="s">
        <v>830</v>
      </c>
      <c r="J2" s="30" t="s">
        <v>831</v>
      </c>
      <c r="K2" s="30" t="s">
        <v>832</v>
      </c>
      <c r="L2" s="30" t="s">
        <v>833</v>
      </c>
      <c r="M2" s="30" t="s">
        <v>834</v>
      </c>
    </row>
    <row r="3" spans="1:13" ht="41.4">
      <c r="A3" s="31">
        <v>46321</v>
      </c>
      <c r="B3" s="32" t="s">
        <v>387</v>
      </c>
      <c r="C3" s="32" t="s">
        <v>427</v>
      </c>
      <c r="D3" s="32" t="s">
        <v>428</v>
      </c>
      <c r="E3" s="33">
        <f>IFERROR(COUNTIFS('Project Checklist'!$A$3:$A$146,A3,'Project Checklist'!$H$3:$H$146,"Done")/COUNTIF('Project Checklist'!$A$3:$A$146,A3),0)</f>
        <v>1</v>
      </c>
      <c r="F3" s="32" t="s">
        <v>1078</v>
      </c>
      <c r="G3" s="32" t="s">
        <v>1076</v>
      </c>
      <c r="H3" s="32"/>
      <c r="I3" s="32"/>
      <c r="J3" s="32"/>
      <c r="K3" s="32"/>
      <c r="L3" s="34">
        <v>120</v>
      </c>
      <c r="M3" s="32" t="s">
        <v>1075</v>
      </c>
    </row>
    <row r="4" spans="1:13" ht="27.6">
      <c r="A4" s="31">
        <v>46322</v>
      </c>
      <c r="B4" s="32" t="s">
        <v>387</v>
      </c>
      <c r="C4" s="32" t="s">
        <v>442</v>
      </c>
      <c r="D4" s="32" t="s">
        <v>443</v>
      </c>
      <c r="E4" s="33">
        <f>IFERROR(COUNTIFS('Project Checklist'!$A$3:$A$146,A4,'Project Checklist'!$H$3:$H$146,"Done")/COUNTIF('Project Checklist'!$A$3:$A$146,A4),0)</f>
        <v>1</v>
      </c>
      <c r="F4" s="32" t="s">
        <v>1079</v>
      </c>
      <c r="G4" s="32"/>
      <c r="H4" s="32"/>
      <c r="I4" s="32"/>
      <c r="J4" s="32"/>
      <c r="K4" s="32"/>
      <c r="L4" s="34">
        <v>30</v>
      </c>
      <c r="M4" s="32" t="s">
        <v>1075</v>
      </c>
    </row>
    <row r="5" spans="1:13" ht="27.6">
      <c r="A5" s="31">
        <v>46323</v>
      </c>
      <c r="B5" s="32" t="s">
        <v>387</v>
      </c>
      <c r="C5" s="32" t="s">
        <v>453</v>
      </c>
      <c r="D5" s="32" t="s">
        <v>454</v>
      </c>
      <c r="E5" s="33">
        <f>IFERROR(COUNTIFS('Project Checklist'!$A$3:$A$146,A5,'Project Checklist'!$H$3:$H$146,"Done")/COUNTIF('Project Checklist'!$A$3:$A$146,A5),0)</f>
        <v>0.75</v>
      </c>
      <c r="F5" s="32" t="s">
        <v>1080</v>
      </c>
      <c r="G5" s="32" t="s">
        <v>1081</v>
      </c>
      <c r="H5" s="32" t="s">
        <v>1082</v>
      </c>
      <c r="I5" s="32"/>
      <c r="J5" s="32"/>
      <c r="K5" s="32"/>
      <c r="L5" s="34">
        <v>30</v>
      </c>
      <c r="M5" s="32" t="s">
        <v>1075</v>
      </c>
    </row>
    <row r="6" spans="1:13" ht="151.80000000000001">
      <c r="A6" s="31">
        <v>46324</v>
      </c>
      <c r="B6" s="32" t="s">
        <v>387</v>
      </c>
      <c r="C6" s="32" t="s">
        <v>464</v>
      </c>
      <c r="D6" s="32" t="s">
        <v>465</v>
      </c>
      <c r="E6" s="33">
        <f>IFERROR(COUNTIFS('Project Checklist'!$A$3:$A$146,A6,'Project Checklist'!$H$3:$H$146,"Done")/COUNTIF('Project Checklist'!$A$3:$A$146,A6),0)</f>
        <v>1</v>
      </c>
      <c r="F6" s="32"/>
      <c r="G6" s="32"/>
      <c r="H6" s="32" t="s">
        <v>1083</v>
      </c>
      <c r="I6" s="32"/>
      <c r="J6" s="32"/>
      <c r="K6" s="32"/>
      <c r="L6" s="34">
        <v>30</v>
      </c>
      <c r="M6" s="32"/>
    </row>
    <row r="7" spans="1:13" ht="41.4">
      <c r="A7" s="31">
        <v>46325</v>
      </c>
      <c r="B7" s="32" t="s">
        <v>387</v>
      </c>
      <c r="C7" s="32" t="s">
        <v>475</v>
      </c>
      <c r="D7" s="32" t="s">
        <v>476</v>
      </c>
      <c r="E7" s="33">
        <f>IFERROR(COUNTIFS('Project Checklist'!$A$3:$A$146,A7,'Project Checklist'!$H$3:$H$146,"Done")/COUNTIF('Project Checklist'!$A$3:$A$146,A7),0)</f>
        <v>1</v>
      </c>
      <c r="F7" s="32" t="s">
        <v>1085</v>
      </c>
      <c r="G7" s="32"/>
      <c r="H7" s="32" t="s">
        <v>1084</v>
      </c>
      <c r="I7" s="32"/>
      <c r="J7" s="32"/>
      <c r="K7" s="32"/>
      <c r="L7" s="34"/>
      <c r="M7" s="32"/>
    </row>
    <row r="8" spans="1:13" ht="41.4">
      <c r="A8" s="31">
        <v>46326</v>
      </c>
      <c r="B8" s="32" t="s">
        <v>387</v>
      </c>
      <c r="C8" s="32" t="s">
        <v>486</v>
      </c>
      <c r="D8" s="32" t="s">
        <v>487</v>
      </c>
      <c r="E8" s="33">
        <f>IFERROR(COUNTIFS('Project Checklist'!$A$3:$A$146,A8,'Project Checklist'!$H$3:$H$146,"Done")/COUNTIF('Project Checklist'!$A$3:$A$146,A8),0)</f>
        <v>1</v>
      </c>
      <c r="F8" s="32" t="s">
        <v>1087</v>
      </c>
      <c r="G8" s="32"/>
      <c r="H8" s="32"/>
      <c r="I8" s="32"/>
      <c r="J8" s="32"/>
      <c r="K8" s="32"/>
      <c r="L8" s="34"/>
      <c r="M8" s="32"/>
    </row>
    <row r="9" spans="1:13" ht="27.6">
      <c r="A9" s="31">
        <v>46327</v>
      </c>
      <c r="B9" s="32" t="s">
        <v>387</v>
      </c>
      <c r="C9" s="32" t="s">
        <v>497</v>
      </c>
      <c r="D9" s="32" t="s">
        <v>498</v>
      </c>
      <c r="E9" s="33">
        <f>IFERROR(COUNTIFS('Project Checklist'!$A$3:$A$146,A9,'Project Checklist'!$H$3:$H$146,"Done")/COUNTIF('Project Checklist'!$A$3:$A$146,A9),0)</f>
        <v>0.75</v>
      </c>
      <c r="F9" s="32" t="s">
        <v>1089</v>
      </c>
      <c r="G9" s="32"/>
      <c r="H9" s="32"/>
      <c r="I9" s="32"/>
      <c r="J9" s="32"/>
      <c r="K9" s="32"/>
      <c r="L9" s="34"/>
      <c r="M9" s="32"/>
    </row>
    <row r="10" spans="1:13" ht="41.4">
      <c r="A10" s="31">
        <v>46328</v>
      </c>
      <c r="B10" s="32" t="s">
        <v>387</v>
      </c>
      <c r="C10" s="32" t="s">
        <v>508</v>
      </c>
      <c r="D10" s="32" t="s">
        <v>509</v>
      </c>
      <c r="E10" s="33">
        <f>IFERROR(COUNTIFS('Project Checklist'!$A$3:$A$146,A10,'Project Checklist'!$H$3:$H$146,"Done")/COUNTIF('Project Checklist'!$A$3:$A$146,A10),0)</f>
        <v>1</v>
      </c>
      <c r="F10" s="32" t="s">
        <v>1088</v>
      </c>
      <c r="G10" s="32"/>
      <c r="H10" s="32"/>
      <c r="I10" s="32"/>
      <c r="J10" s="32"/>
      <c r="K10" s="32"/>
      <c r="L10" s="34"/>
      <c r="M10" s="32"/>
    </row>
    <row r="11" spans="1:13" ht="27.6">
      <c r="A11" s="31">
        <v>46329</v>
      </c>
      <c r="B11" s="32" t="s">
        <v>387</v>
      </c>
      <c r="C11" s="32" t="s">
        <v>519</v>
      </c>
      <c r="D11" s="32" t="s">
        <v>520</v>
      </c>
      <c r="E11" s="33">
        <f>IFERROR(COUNTIFS('Project Checklist'!$A$3:$A$146,A11,'Project Checklist'!$H$3:$H$146,"Done")/COUNTIF('Project Checklist'!$A$3:$A$146,A11),0)</f>
        <v>0</v>
      </c>
      <c r="F11" s="32"/>
      <c r="G11" s="32"/>
      <c r="H11" s="32"/>
      <c r="I11" s="32"/>
      <c r="J11" s="32"/>
      <c r="K11" s="32"/>
      <c r="L11" s="34"/>
      <c r="M11" s="32"/>
    </row>
    <row r="12" spans="1:13" ht="27.6">
      <c r="A12" s="31">
        <v>46330</v>
      </c>
      <c r="B12" s="32" t="s">
        <v>387</v>
      </c>
      <c r="C12" s="32" t="s">
        <v>530</v>
      </c>
      <c r="D12" s="32" t="s">
        <v>531</v>
      </c>
      <c r="E12" s="33">
        <f>IFERROR(COUNTIFS('Project Checklist'!$A$3:$A$146,A12,'Project Checklist'!$H$3:$H$146,"Done")/COUNTIF('Project Checklist'!$A$3:$A$146,A12),0)</f>
        <v>0</v>
      </c>
      <c r="F12" s="32"/>
      <c r="G12" s="32"/>
      <c r="H12" s="32"/>
      <c r="I12" s="32"/>
      <c r="J12" s="32"/>
      <c r="K12" s="32"/>
      <c r="L12" s="34"/>
      <c r="M12" s="32"/>
    </row>
    <row r="13" spans="1:13" ht="27.6">
      <c r="A13" s="31">
        <v>46331</v>
      </c>
      <c r="B13" s="32" t="s">
        <v>390</v>
      </c>
      <c r="C13" s="32" t="s">
        <v>541</v>
      </c>
      <c r="D13" s="32" t="s">
        <v>542</v>
      </c>
      <c r="E13" s="33">
        <f>IFERROR(COUNTIFS('Project Checklist'!$A$3:$A$146,A13,'Project Checklist'!$H$3:$H$146,"Done")/COUNTIF('Project Checklist'!$A$3:$A$146,A13),0)</f>
        <v>0</v>
      </c>
      <c r="F13" s="32"/>
      <c r="G13" s="32"/>
      <c r="H13" s="32"/>
      <c r="I13" s="32"/>
      <c r="J13" s="32"/>
      <c r="K13" s="32"/>
      <c r="L13" s="34"/>
      <c r="M13" s="32"/>
    </row>
    <row r="14" spans="1:13" ht="27.6">
      <c r="A14" s="31">
        <v>46332</v>
      </c>
      <c r="B14" s="32" t="s">
        <v>390</v>
      </c>
      <c r="C14" s="32" t="s">
        <v>552</v>
      </c>
      <c r="D14" s="32" t="s">
        <v>553</v>
      </c>
      <c r="E14" s="33">
        <f>IFERROR(COUNTIFS('Project Checklist'!$A$3:$A$146,A14,'Project Checklist'!$H$3:$H$146,"Done")/COUNTIF('Project Checklist'!$A$3:$A$146,A14),0)</f>
        <v>0</v>
      </c>
      <c r="F14" s="32"/>
      <c r="G14" s="32"/>
      <c r="H14" s="32"/>
      <c r="I14" s="32"/>
      <c r="J14" s="32"/>
      <c r="K14" s="32"/>
      <c r="L14" s="34"/>
      <c r="M14" s="32"/>
    </row>
    <row r="15" spans="1:13" ht="27.6">
      <c r="A15" s="31">
        <v>46333</v>
      </c>
      <c r="B15" s="32" t="s">
        <v>390</v>
      </c>
      <c r="C15" s="32" t="s">
        <v>563</v>
      </c>
      <c r="D15" s="32" t="s">
        <v>564</v>
      </c>
      <c r="E15" s="33">
        <f>IFERROR(COUNTIFS('Project Checklist'!$A$3:$A$146,A15,'Project Checklist'!$H$3:$H$146,"Done")/COUNTIF('Project Checklist'!$A$3:$A$146,A15),0)</f>
        <v>0</v>
      </c>
      <c r="F15" s="32"/>
      <c r="G15" s="32"/>
      <c r="H15" s="32"/>
      <c r="I15" s="32"/>
      <c r="J15" s="32"/>
      <c r="K15" s="32"/>
      <c r="L15" s="34"/>
      <c r="M15" s="32"/>
    </row>
    <row r="16" spans="1:13" ht="27.6">
      <c r="A16" s="31">
        <v>46334</v>
      </c>
      <c r="B16" s="32" t="s">
        <v>390</v>
      </c>
      <c r="C16" s="32" t="s">
        <v>574</v>
      </c>
      <c r="D16" s="32" t="s">
        <v>575</v>
      </c>
      <c r="E16" s="33">
        <f>IFERROR(COUNTIFS('Project Checklist'!$A$3:$A$146,A16,'Project Checklist'!$H$3:$H$146,"Done")/COUNTIF('Project Checklist'!$A$3:$A$146,A16),0)</f>
        <v>0</v>
      </c>
      <c r="F16" s="32"/>
      <c r="G16" s="32"/>
      <c r="H16" s="32"/>
      <c r="I16" s="32"/>
      <c r="J16" s="32"/>
      <c r="K16" s="32"/>
      <c r="L16" s="34"/>
      <c r="M16" s="32"/>
    </row>
    <row r="17" spans="1:13" ht="27.6">
      <c r="A17" s="31">
        <v>46335</v>
      </c>
      <c r="B17" s="32" t="s">
        <v>390</v>
      </c>
      <c r="C17" s="32" t="s">
        <v>585</v>
      </c>
      <c r="D17" s="32" t="s">
        <v>586</v>
      </c>
      <c r="E17" s="33">
        <f>IFERROR(COUNTIFS('Project Checklist'!$A$3:$A$146,A17,'Project Checklist'!$H$3:$H$146,"Done")/COUNTIF('Project Checklist'!$A$3:$A$146,A17),0)</f>
        <v>0</v>
      </c>
      <c r="F17" s="32"/>
      <c r="G17" s="32"/>
      <c r="H17" s="32"/>
      <c r="I17" s="32"/>
      <c r="J17" s="32"/>
      <c r="K17" s="32"/>
      <c r="L17" s="34"/>
      <c r="M17" s="32"/>
    </row>
    <row r="18" spans="1:13">
      <c r="A18" s="31">
        <v>46336</v>
      </c>
      <c r="B18" s="32" t="s">
        <v>390</v>
      </c>
      <c r="C18" s="32" t="s">
        <v>596</v>
      </c>
      <c r="D18" s="32" t="s">
        <v>597</v>
      </c>
      <c r="E18" s="33">
        <f>IFERROR(COUNTIFS('Project Checklist'!$A$3:$A$146,A18,'Project Checklist'!$H$3:$H$146,"Done")/COUNTIF('Project Checklist'!$A$3:$A$146,A18),0)</f>
        <v>0</v>
      </c>
      <c r="F18" s="32"/>
      <c r="G18" s="32"/>
      <c r="H18" s="32"/>
      <c r="I18" s="32"/>
      <c r="J18" s="32"/>
      <c r="K18" s="32"/>
      <c r="L18" s="34"/>
      <c r="M18" s="32"/>
    </row>
    <row r="19" spans="1:13" ht="27.6">
      <c r="A19" s="31">
        <v>46337</v>
      </c>
      <c r="B19" s="32" t="s">
        <v>390</v>
      </c>
      <c r="C19" s="32" t="s">
        <v>607</v>
      </c>
      <c r="D19" s="32" t="s">
        <v>608</v>
      </c>
      <c r="E19" s="33">
        <f>IFERROR(COUNTIFS('Project Checklist'!$A$3:$A$146,A19,'Project Checklist'!$H$3:$H$146,"Done")/COUNTIF('Project Checklist'!$A$3:$A$146,A19),0)</f>
        <v>0</v>
      </c>
      <c r="F19" s="32"/>
      <c r="G19" s="32"/>
      <c r="H19" s="32"/>
      <c r="I19" s="32"/>
      <c r="J19" s="32"/>
      <c r="K19" s="32"/>
      <c r="L19" s="34"/>
      <c r="M19" s="32"/>
    </row>
    <row r="20" spans="1:13">
      <c r="A20" s="31">
        <v>46338</v>
      </c>
      <c r="B20" s="32" t="s">
        <v>390</v>
      </c>
      <c r="C20" s="32" t="s">
        <v>618</v>
      </c>
      <c r="D20" s="32" t="s">
        <v>619</v>
      </c>
      <c r="E20" s="33">
        <f>IFERROR(COUNTIFS('Project Checklist'!$A$3:$A$146,A20,'Project Checklist'!$H$3:$H$146,"Done")/COUNTIF('Project Checklist'!$A$3:$A$146,A20),0)</f>
        <v>0</v>
      </c>
      <c r="F20" s="32"/>
      <c r="G20" s="32"/>
      <c r="H20" s="32"/>
      <c r="I20" s="32"/>
      <c r="J20" s="32"/>
      <c r="K20" s="32"/>
      <c r="L20" s="34"/>
      <c r="M20" s="32"/>
    </row>
    <row r="21" spans="1:13" ht="27.6">
      <c r="A21" s="31">
        <v>46339</v>
      </c>
      <c r="B21" s="32" t="s">
        <v>390</v>
      </c>
      <c r="C21" s="32" t="s">
        <v>629</v>
      </c>
      <c r="D21" s="32" t="s">
        <v>630</v>
      </c>
      <c r="E21" s="33">
        <f>IFERROR(COUNTIFS('Project Checklist'!$A$3:$A$146,A21,'Project Checklist'!$H$3:$H$146,"Done")/COUNTIF('Project Checklist'!$A$3:$A$146,A21),0)</f>
        <v>0</v>
      </c>
      <c r="F21" s="32"/>
      <c r="G21" s="32"/>
      <c r="H21" s="32"/>
      <c r="I21" s="32"/>
      <c r="J21" s="32"/>
      <c r="K21" s="32"/>
      <c r="L21" s="34"/>
      <c r="M21" s="32"/>
    </row>
    <row r="22" spans="1:13">
      <c r="A22" s="31">
        <v>46340</v>
      </c>
      <c r="B22" s="32" t="s">
        <v>390</v>
      </c>
      <c r="C22" s="32" t="s">
        <v>640</v>
      </c>
      <c r="D22" s="32" t="s">
        <v>641</v>
      </c>
      <c r="E22" s="33">
        <f>IFERROR(COUNTIFS('Project Checklist'!$A$3:$A$146,A22,'Project Checklist'!$H$3:$H$146,"Done")/COUNTIF('Project Checklist'!$A$3:$A$146,A22),0)</f>
        <v>0</v>
      </c>
      <c r="F22" s="32"/>
      <c r="G22" s="32"/>
      <c r="H22" s="32"/>
      <c r="I22" s="32"/>
      <c r="J22" s="32"/>
      <c r="K22" s="32"/>
      <c r="L22" s="34"/>
      <c r="M22" s="32"/>
    </row>
    <row r="23" spans="1:13">
      <c r="A23" s="31">
        <v>46341</v>
      </c>
      <c r="B23" s="32" t="s">
        <v>390</v>
      </c>
      <c r="C23" s="32" t="s">
        <v>651</v>
      </c>
      <c r="D23" s="32" t="s">
        <v>652</v>
      </c>
      <c r="E23" s="33">
        <f>IFERROR(COUNTIFS('Project Checklist'!$A$3:$A$146,A23,'Project Checklist'!$H$3:$H$146,"Done")/COUNTIF('Project Checklist'!$A$3:$A$146,A23),0)</f>
        <v>0</v>
      </c>
      <c r="F23" s="32"/>
      <c r="G23" s="32"/>
      <c r="H23" s="32"/>
      <c r="I23" s="32"/>
      <c r="J23" s="32"/>
      <c r="K23" s="32"/>
      <c r="L23" s="34"/>
      <c r="M23" s="32"/>
    </row>
    <row r="24" spans="1:13">
      <c r="A24" s="31">
        <v>46342</v>
      </c>
      <c r="B24" s="32" t="s">
        <v>390</v>
      </c>
      <c r="C24" s="32" t="s">
        <v>304</v>
      </c>
      <c r="D24" s="32" t="s">
        <v>662</v>
      </c>
      <c r="E24" s="33">
        <f>IFERROR(COUNTIFS('Project Checklist'!$A$3:$A$146,A24,'Project Checklist'!$H$3:$H$146,"Done")/COUNTIF('Project Checklist'!$A$3:$A$146,A24),0)</f>
        <v>0</v>
      </c>
      <c r="F24" s="32"/>
      <c r="G24" s="32"/>
      <c r="H24" s="32"/>
      <c r="I24" s="32"/>
      <c r="J24" s="32"/>
      <c r="K24" s="32"/>
      <c r="L24" s="34"/>
      <c r="M24" s="32"/>
    </row>
    <row r="25" spans="1:13">
      <c r="A25" s="31">
        <v>46343</v>
      </c>
      <c r="B25" s="32" t="s">
        <v>390</v>
      </c>
      <c r="C25" s="32" t="s">
        <v>672</v>
      </c>
      <c r="D25" s="32" t="s">
        <v>673</v>
      </c>
      <c r="E25" s="33">
        <f>IFERROR(COUNTIFS('Project Checklist'!$A$3:$A$146,A25,'Project Checklist'!$H$3:$H$146,"Done")/COUNTIF('Project Checklist'!$A$3:$A$146,A25),0)</f>
        <v>0</v>
      </c>
      <c r="F25" s="32"/>
      <c r="G25" s="32"/>
      <c r="H25" s="32"/>
      <c r="I25" s="32"/>
      <c r="J25" s="32"/>
      <c r="K25" s="32"/>
      <c r="L25" s="34"/>
      <c r="M25" s="32"/>
    </row>
    <row r="26" spans="1:13" ht="27.6">
      <c r="A26" s="31">
        <v>46344</v>
      </c>
      <c r="B26" s="32" t="s">
        <v>390</v>
      </c>
      <c r="C26" s="32" t="s">
        <v>530</v>
      </c>
      <c r="D26" s="32" t="s">
        <v>683</v>
      </c>
      <c r="E26" s="33">
        <f>IFERROR(COUNTIFS('Project Checklist'!$A$3:$A$146,A26,'Project Checklist'!$H$3:$H$146,"Done")/COUNTIF('Project Checklist'!$A$3:$A$146,A26),0)</f>
        <v>0</v>
      </c>
      <c r="F26" s="32"/>
      <c r="G26" s="32"/>
      <c r="H26" s="32"/>
      <c r="I26" s="32"/>
      <c r="J26" s="32"/>
      <c r="K26" s="32"/>
      <c r="L26" s="34"/>
      <c r="M26" s="32"/>
    </row>
    <row r="27" spans="1:13" ht="27.6">
      <c r="A27" s="31">
        <v>46345</v>
      </c>
      <c r="B27" s="32" t="s">
        <v>393</v>
      </c>
      <c r="C27" s="32" t="s">
        <v>693</v>
      </c>
      <c r="D27" s="32" t="s">
        <v>694</v>
      </c>
      <c r="E27" s="33">
        <f>IFERROR(COUNTIFS('Project Checklist'!$A$3:$A$146,A27,'Project Checklist'!$H$3:$H$146,"Done")/COUNTIF('Project Checklist'!$A$3:$A$146,A27),0)</f>
        <v>0</v>
      </c>
      <c r="F27" s="32"/>
      <c r="G27" s="32"/>
      <c r="H27" s="32"/>
      <c r="I27" s="32"/>
      <c r="J27" s="32"/>
      <c r="K27" s="32"/>
      <c r="L27" s="34"/>
      <c r="M27" s="32"/>
    </row>
    <row r="28" spans="1:13" ht="27.6">
      <c r="A28" s="31">
        <v>46346</v>
      </c>
      <c r="B28" s="32" t="s">
        <v>393</v>
      </c>
      <c r="C28" s="32" t="s">
        <v>704</v>
      </c>
      <c r="D28" s="32" t="s">
        <v>705</v>
      </c>
      <c r="E28" s="33">
        <f>IFERROR(COUNTIFS('Project Checklist'!$A$3:$A$146,A28,'Project Checklist'!$H$3:$H$146,"Done")/COUNTIF('Project Checklist'!$A$3:$A$146,A28),0)</f>
        <v>0</v>
      </c>
      <c r="F28" s="32"/>
      <c r="G28" s="32"/>
      <c r="H28" s="32"/>
      <c r="I28" s="32"/>
      <c r="J28" s="32"/>
      <c r="K28" s="32"/>
      <c r="L28" s="34"/>
      <c r="M28" s="32"/>
    </row>
    <row r="29" spans="1:13" ht="27.6">
      <c r="A29" s="31">
        <v>46347</v>
      </c>
      <c r="B29" s="32" t="s">
        <v>393</v>
      </c>
      <c r="C29" s="32" t="s">
        <v>715</v>
      </c>
      <c r="D29" s="32" t="s">
        <v>716</v>
      </c>
      <c r="E29" s="33">
        <f>IFERROR(COUNTIFS('Project Checklist'!$A$3:$A$146,A29,'Project Checklist'!$H$3:$H$146,"Done")/COUNTIF('Project Checklist'!$A$3:$A$146,A29),0)</f>
        <v>0</v>
      </c>
      <c r="F29" s="32"/>
      <c r="G29" s="32"/>
      <c r="H29" s="32"/>
      <c r="I29" s="32"/>
      <c r="J29" s="32"/>
      <c r="K29" s="32"/>
      <c r="L29" s="34"/>
      <c r="M29" s="32"/>
    </row>
    <row r="30" spans="1:13" ht="27.6">
      <c r="A30" s="31">
        <v>46348</v>
      </c>
      <c r="B30" s="32" t="s">
        <v>393</v>
      </c>
      <c r="C30" s="32" t="s">
        <v>726</v>
      </c>
      <c r="D30" s="32" t="s">
        <v>727</v>
      </c>
      <c r="E30" s="33">
        <f>IFERROR(COUNTIFS('Project Checklist'!$A$3:$A$146,A30,'Project Checklist'!$H$3:$H$146,"Done")/COUNTIF('Project Checklist'!$A$3:$A$146,A30),0)</f>
        <v>0</v>
      </c>
      <c r="F30" s="32"/>
      <c r="G30" s="32"/>
      <c r="H30" s="32"/>
      <c r="I30" s="32"/>
      <c r="J30" s="32"/>
      <c r="K30" s="32"/>
      <c r="L30" s="34"/>
      <c r="M30" s="32"/>
    </row>
    <row r="31" spans="1:13" ht="27.6">
      <c r="A31" s="31">
        <v>46349</v>
      </c>
      <c r="B31" s="32" t="s">
        <v>393</v>
      </c>
      <c r="C31" s="32" t="s">
        <v>737</v>
      </c>
      <c r="D31" s="32" t="s">
        <v>738</v>
      </c>
      <c r="E31" s="33">
        <f>IFERROR(COUNTIFS('Project Checklist'!$A$3:$A$146,A31,'Project Checklist'!$H$3:$H$146,"Done")/COUNTIF('Project Checklist'!$A$3:$A$146,A31),0)</f>
        <v>0</v>
      </c>
      <c r="F31" s="32"/>
      <c r="G31" s="32"/>
      <c r="H31" s="32"/>
      <c r="I31" s="32"/>
      <c r="J31" s="32"/>
      <c r="K31" s="32"/>
      <c r="L31" s="34"/>
      <c r="M31" s="32"/>
    </row>
    <row r="32" spans="1:13" ht="27.6">
      <c r="A32" s="31">
        <v>46350</v>
      </c>
      <c r="B32" s="32" t="s">
        <v>393</v>
      </c>
      <c r="C32" s="32" t="s">
        <v>748</v>
      </c>
      <c r="D32" s="32" t="s">
        <v>749</v>
      </c>
      <c r="E32" s="33">
        <f>IFERROR(COUNTIFS('Project Checklist'!$A$3:$A$146,A32,'Project Checklist'!$H$3:$H$146,"Done")/COUNTIF('Project Checklist'!$A$3:$A$146,A32),0)</f>
        <v>0</v>
      </c>
      <c r="F32" s="32"/>
      <c r="G32" s="32"/>
      <c r="H32" s="32"/>
      <c r="I32" s="32"/>
      <c r="J32" s="32"/>
      <c r="K32" s="32"/>
      <c r="L32" s="34"/>
      <c r="M32" s="32"/>
    </row>
    <row r="33" spans="1:13" ht="27.6">
      <c r="A33" s="31">
        <v>46351</v>
      </c>
      <c r="B33" s="32" t="s">
        <v>393</v>
      </c>
      <c r="C33" s="32" t="s">
        <v>759</v>
      </c>
      <c r="D33" s="32" t="s">
        <v>760</v>
      </c>
      <c r="E33" s="33">
        <f>IFERROR(COUNTIFS('Project Checklist'!$A$3:$A$146,A33,'Project Checklist'!$H$3:$H$146,"Done")/COUNTIF('Project Checklist'!$A$3:$A$146,A33),0)</f>
        <v>0</v>
      </c>
      <c r="F33" s="32"/>
      <c r="G33" s="32"/>
      <c r="H33" s="32"/>
      <c r="I33" s="32"/>
      <c r="J33" s="32"/>
      <c r="K33" s="32"/>
      <c r="L33" s="34"/>
      <c r="M33" s="32"/>
    </row>
    <row r="34" spans="1:13" ht="27.6">
      <c r="A34" s="31">
        <v>46352</v>
      </c>
      <c r="B34" s="32" t="s">
        <v>393</v>
      </c>
      <c r="C34" s="32" t="s">
        <v>770</v>
      </c>
      <c r="D34" s="32" t="s">
        <v>771</v>
      </c>
      <c r="E34" s="33">
        <f>IFERROR(COUNTIFS('Project Checklist'!$A$3:$A$146,A34,'Project Checklist'!$H$3:$H$146,"Done")/COUNTIF('Project Checklist'!$A$3:$A$146,A34),0)</f>
        <v>0</v>
      </c>
      <c r="F34" s="32"/>
      <c r="G34" s="32"/>
      <c r="H34" s="32"/>
      <c r="I34" s="32"/>
      <c r="J34" s="32"/>
      <c r="K34" s="32"/>
      <c r="L34" s="34"/>
      <c r="M34" s="32"/>
    </row>
    <row r="35" spans="1:13" ht="27.6">
      <c r="A35" s="31">
        <v>46353</v>
      </c>
      <c r="B35" s="32" t="s">
        <v>393</v>
      </c>
      <c r="C35" s="32" t="s">
        <v>781</v>
      </c>
      <c r="D35" s="32" t="s">
        <v>782</v>
      </c>
      <c r="E35" s="33">
        <f>IFERROR(COUNTIFS('Project Checklist'!$A$3:$A$146,A35,'Project Checklist'!$H$3:$H$146,"Done")/COUNTIF('Project Checklist'!$A$3:$A$146,A35),0)</f>
        <v>0</v>
      </c>
      <c r="F35" s="32"/>
      <c r="G35" s="32"/>
      <c r="H35" s="32"/>
      <c r="I35" s="32"/>
      <c r="J35" s="32"/>
      <c r="K35" s="32"/>
      <c r="L35" s="34"/>
      <c r="M35" s="32"/>
    </row>
    <row r="36" spans="1:13" ht="27.6">
      <c r="A36" s="31">
        <v>46354</v>
      </c>
      <c r="B36" s="32" t="s">
        <v>393</v>
      </c>
      <c r="C36" s="32" t="s">
        <v>792</v>
      </c>
      <c r="D36" s="32" t="s">
        <v>793</v>
      </c>
      <c r="E36" s="33">
        <f>IFERROR(COUNTIFS('Project Checklist'!$A$3:$A$146,A36,'Project Checklist'!$H$3:$H$146,"Done")/COUNTIF('Project Checklist'!$A$3:$A$146,A36),0)</f>
        <v>0</v>
      </c>
      <c r="F36" s="32"/>
      <c r="G36" s="32"/>
      <c r="H36" s="32"/>
      <c r="I36" s="32"/>
      <c r="J36" s="32"/>
      <c r="K36" s="32"/>
      <c r="L36" s="34"/>
      <c r="M36" s="32"/>
    </row>
    <row r="37" spans="1:13" ht="27.6">
      <c r="A37" s="31">
        <v>46355</v>
      </c>
      <c r="B37" s="32" t="s">
        <v>393</v>
      </c>
      <c r="C37" s="32" t="s">
        <v>803</v>
      </c>
      <c r="D37" s="32" t="s">
        <v>804</v>
      </c>
      <c r="E37" s="33">
        <f>IFERROR(COUNTIFS('Project Checklist'!$A$3:$A$146,A37,'Project Checklist'!$H$3:$H$146,"Done")/COUNTIF('Project Checklist'!$A$3:$A$146,A37),0)</f>
        <v>0</v>
      </c>
      <c r="F37" s="32"/>
      <c r="G37" s="32"/>
      <c r="H37" s="32"/>
      <c r="I37" s="32"/>
      <c r="J37" s="32"/>
      <c r="K37" s="32"/>
      <c r="L37" s="34"/>
      <c r="M37" s="32"/>
    </row>
    <row r="38" spans="1:13" ht="27.6">
      <c r="A38" s="31">
        <v>46356</v>
      </c>
      <c r="B38" s="32" t="s">
        <v>393</v>
      </c>
      <c r="C38" s="32" t="s">
        <v>814</v>
      </c>
      <c r="D38" s="32" t="s">
        <v>815</v>
      </c>
      <c r="E38" s="33">
        <f>IFERROR(COUNTIFS('Project Checklist'!$A$3:$A$146,A38,'Project Checklist'!$H$3:$H$146,"Done")/COUNTIF('Project Checklist'!$A$3:$A$146,A38),0)</f>
        <v>0</v>
      </c>
      <c r="F38" s="32"/>
      <c r="G38" s="32"/>
      <c r="H38" s="32"/>
      <c r="I38" s="32"/>
      <c r="J38" s="32"/>
      <c r="K38" s="32"/>
      <c r="L38" s="34"/>
      <c r="M38" s="32"/>
    </row>
  </sheetData>
  <mergeCells count="1">
    <mergeCell ref="A1:M1"/>
  </mergeCells>
  <conditionalFormatting sqref="E3:E3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{BFBBC917-C341-6AAC-4651-2BC9580BBCBE}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BBC917-C341-6AAC-4651-2BC9580BBCBE}">
            <x14:dataBar>
              <x14:cfvo type="min"/>
              <x14:cfvo type="max"/>
              <x14:negativeFillColor auto="1"/>
              <x14:axisColor auto="1"/>
            </x14:dataBar>
          </x14:cfRule>
          <xm:sqref>E3:E38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topLeftCell="A10" workbookViewId="0">
      <selection activeCell="C29" sqref="C29"/>
    </sheetView>
  </sheetViews>
  <sheetFormatPr defaultRowHeight="13.8"/>
  <cols>
    <col min="1" max="1" width="24" customWidth="1"/>
    <col min="2" max="2" width="38" customWidth="1"/>
    <col min="3" max="3" width="44" customWidth="1"/>
    <col min="4" max="4" width="24" customWidth="1"/>
    <col min="5" max="5" width="20" customWidth="1"/>
    <col min="6" max="6" width="38" customWidth="1"/>
  </cols>
  <sheetData>
    <row r="1" spans="1:6" ht="24" customHeight="1">
      <c r="A1" s="42" t="s">
        <v>835</v>
      </c>
      <c r="B1" s="43"/>
      <c r="C1" s="43"/>
      <c r="D1" s="43"/>
      <c r="E1" s="43"/>
      <c r="F1" s="43"/>
    </row>
    <row r="2" spans="1:6">
      <c r="A2" s="30" t="s">
        <v>836</v>
      </c>
      <c r="B2" s="30" t="s">
        <v>837</v>
      </c>
      <c r="C2" s="30" t="s">
        <v>838</v>
      </c>
      <c r="D2" s="30" t="s">
        <v>839</v>
      </c>
      <c r="E2" s="30" t="s">
        <v>840</v>
      </c>
      <c r="F2" s="30" t="s">
        <v>841</v>
      </c>
    </row>
    <row r="3" spans="1:6" ht="27.6">
      <c r="A3" s="32" t="s">
        <v>427</v>
      </c>
      <c r="B3" s="32" t="s">
        <v>842</v>
      </c>
      <c r="C3" s="32" t="s">
        <v>843</v>
      </c>
      <c r="D3" s="32" t="s">
        <v>844</v>
      </c>
      <c r="E3" s="32" t="s">
        <v>845</v>
      </c>
      <c r="F3" s="32" t="s">
        <v>846</v>
      </c>
    </row>
    <row r="4" spans="1:6" ht="27.6">
      <c r="A4" s="32" t="s">
        <v>847</v>
      </c>
      <c r="B4" s="32" t="s">
        <v>848</v>
      </c>
      <c r="C4" s="32" t="s">
        <v>849</v>
      </c>
      <c r="D4" s="32" t="s">
        <v>850</v>
      </c>
      <c r="E4" s="32" t="s">
        <v>845</v>
      </c>
      <c r="F4" s="32" t="s">
        <v>851</v>
      </c>
    </row>
    <row r="5" spans="1:6" ht="27.6">
      <c r="A5" s="32" t="s">
        <v>852</v>
      </c>
      <c r="B5" s="32" t="s">
        <v>853</v>
      </c>
      <c r="C5" s="32" t="s">
        <v>854</v>
      </c>
      <c r="D5" s="32" t="s">
        <v>855</v>
      </c>
      <c r="E5" s="32" t="s">
        <v>856</v>
      </c>
      <c r="F5" s="32" t="s">
        <v>857</v>
      </c>
    </row>
    <row r="6" spans="1:6" ht="27.6">
      <c r="A6" s="32" t="s">
        <v>858</v>
      </c>
      <c r="B6" s="32" t="s">
        <v>859</v>
      </c>
      <c r="C6" s="32" t="s">
        <v>860</v>
      </c>
      <c r="D6" s="32" t="s">
        <v>861</v>
      </c>
      <c r="E6" s="32" t="s">
        <v>862</v>
      </c>
      <c r="F6" s="32" t="s">
        <v>863</v>
      </c>
    </row>
    <row r="7" spans="1:6" ht="27.6">
      <c r="A7" s="32" t="s">
        <v>864</v>
      </c>
      <c r="B7" s="32" t="s">
        <v>865</v>
      </c>
      <c r="C7" s="32" t="s">
        <v>866</v>
      </c>
      <c r="D7" s="32" t="s">
        <v>867</v>
      </c>
      <c r="E7" s="32" t="s">
        <v>856</v>
      </c>
      <c r="F7" s="32" t="s">
        <v>868</v>
      </c>
    </row>
    <row r="8" spans="1:6" ht="27.6">
      <c r="A8" s="32" t="s">
        <v>869</v>
      </c>
      <c r="B8" s="32" t="s">
        <v>870</v>
      </c>
      <c r="C8" s="32" t="s">
        <v>871</v>
      </c>
      <c r="D8" s="32" t="s">
        <v>872</v>
      </c>
      <c r="E8" s="32" t="s">
        <v>856</v>
      </c>
      <c r="F8" s="32" t="s">
        <v>873</v>
      </c>
    </row>
    <row r="9" spans="1:6" ht="27.6">
      <c r="A9" s="32" t="s">
        <v>874</v>
      </c>
      <c r="B9" s="32" t="s">
        <v>875</v>
      </c>
      <c r="C9" s="32" t="s">
        <v>876</v>
      </c>
      <c r="D9" s="32" t="s">
        <v>877</v>
      </c>
      <c r="E9" s="32" t="s">
        <v>856</v>
      </c>
      <c r="F9" s="32" t="s">
        <v>878</v>
      </c>
    </row>
    <row r="10" spans="1:6" ht="27.6">
      <c r="A10" s="32" t="s">
        <v>879</v>
      </c>
      <c r="B10" s="32" t="s">
        <v>880</v>
      </c>
      <c r="C10" s="32" t="s">
        <v>881</v>
      </c>
      <c r="D10" s="32" t="s">
        <v>882</v>
      </c>
      <c r="E10" s="32" t="s">
        <v>856</v>
      </c>
      <c r="F10" s="32" t="s">
        <v>883</v>
      </c>
    </row>
    <row r="11" spans="1:6" ht="27.6">
      <c r="A11" s="32" t="s">
        <v>884</v>
      </c>
      <c r="B11" s="32" t="s">
        <v>885</v>
      </c>
      <c r="C11" s="32" t="s">
        <v>886</v>
      </c>
      <c r="D11" s="32" t="s">
        <v>887</v>
      </c>
      <c r="E11" s="32" t="s">
        <v>862</v>
      </c>
      <c r="F11" s="32" t="s">
        <v>888</v>
      </c>
    </row>
    <row r="12" spans="1:6" ht="27.6">
      <c r="A12" s="32" t="s">
        <v>889</v>
      </c>
      <c r="B12" s="32" t="s">
        <v>890</v>
      </c>
      <c r="C12" s="32" t="s">
        <v>891</v>
      </c>
      <c r="D12" s="32" t="s">
        <v>892</v>
      </c>
      <c r="E12" s="32" t="s">
        <v>856</v>
      </c>
      <c r="F12" s="32" t="s">
        <v>893</v>
      </c>
    </row>
    <row r="13" spans="1:6" ht="27.6">
      <c r="A13" s="32" t="s">
        <v>894</v>
      </c>
      <c r="B13" s="32" t="s">
        <v>895</v>
      </c>
      <c r="C13" s="32" t="s">
        <v>896</v>
      </c>
      <c r="D13" s="32" t="s">
        <v>897</v>
      </c>
      <c r="E13" s="32" t="s">
        <v>856</v>
      </c>
      <c r="F13" s="32" t="s">
        <v>898</v>
      </c>
    </row>
    <row r="14" spans="1:6" ht="27.6">
      <c r="A14" s="32" t="s">
        <v>899</v>
      </c>
      <c r="B14" s="32" t="s">
        <v>900</v>
      </c>
      <c r="C14" s="32" t="s">
        <v>901</v>
      </c>
      <c r="D14" s="32" t="s">
        <v>902</v>
      </c>
      <c r="E14" s="32" t="s">
        <v>856</v>
      </c>
      <c r="F14" s="32" t="s">
        <v>903</v>
      </c>
    </row>
    <row r="15" spans="1:6" ht="41.4">
      <c r="A15" s="32" t="s">
        <v>904</v>
      </c>
      <c r="B15" s="32" t="s">
        <v>905</v>
      </c>
      <c r="C15" s="32" t="s">
        <v>906</v>
      </c>
      <c r="D15" s="32" t="s">
        <v>897</v>
      </c>
      <c r="E15" s="32" t="s">
        <v>856</v>
      </c>
      <c r="F15" s="32" t="s">
        <v>907</v>
      </c>
    </row>
    <row r="16" spans="1:6" ht="27.6">
      <c r="A16" s="32" t="s">
        <v>585</v>
      </c>
      <c r="B16" s="32" t="s">
        <v>908</v>
      </c>
      <c r="C16" s="32" t="s">
        <v>909</v>
      </c>
      <c r="D16" s="32" t="s">
        <v>910</v>
      </c>
      <c r="E16" s="32" t="s">
        <v>911</v>
      </c>
      <c r="F16" s="32" t="s">
        <v>912</v>
      </c>
    </row>
    <row r="17" spans="1:6" ht="27.6">
      <c r="A17" s="32" t="s">
        <v>913</v>
      </c>
      <c r="B17" s="32" t="s">
        <v>914</v>
      </c>
      <c r="C17" s="32" t="s">
        <v>915</v>
      </c>
      <c r="D17" s="32" t="s">
        <v>916</v>
      </c>
      <c r="E17" s="32" t="s">
        <v>911</v>
      </c>
      <c r="F17" s="32" t="s">
        <v>917</v>
      </c>
    </row>
    <row r="18" spans="1:6" ht="27.6">
      <c r="A18" s="32" t="s">
        <v>918</v>
      </c>
      <c r="B18" s="32" t="s">
        <v>919</v>
      </c>
      <c r="C18" s="32" t="s">
        <v>920</v>
      </c>
      <c r="D18" s="32" t="s">
        <v>921</v>
      </c>
      <c r="E18" s="32" t="s">
        <v>911</v>
      </c>
      <c r="F18" s="32" t="s">
        <v>922</v>
      </c>
    </row>
    <row r="19" spans="1:6" ht="27.6">
      <c r="A19" s="32" t="s">
        <v>618</v>
      </c>
      <c r="B19" s="32" t="s">
        <v>923</v>
      </c>
      <c r="C19" s="32" t="s">
        <v>924</v>
      </c>
      <c r="D19" s="32" t="s">
        <v>925</v>
      </c>
      <c r="E19" s="32" t="s">
        <v>911</v>
      </c>
      <c r="F19" s="32" t="s">
        <v>926</v>
      </c>
    </row>
    <row r="20" spans="1:6" ht="27.6">
      <c r="A20" s="32" t="s">
        <v>927</v>
      </c>
      <c r="B20" s="32" t="s">
        <v>928</v>
      </c>
      <c r="C20" s="32" t="s">
        <v>929</v>
      </c>
      <c r="D20" s="32" t="s">
        <v>930</v>
      </c>
      <c r="E20" s="32" t="s">
        <v>911</v>
      </c>
      <c r="F20" s="32" t="s">
        <v>931</v>
      </c>
    </row>
    <row r="21" spans="1:6" ht="27.6">
      <c r="A21" s="32" t="s">
        <v>932</v>
      </c>
      <c r="B21" s="32" t="s">
        <v>933</v>
      </c>
      <c r="C21" s="32" t="s">
        <v>934</v>
      </c>
      <c r="D21" s="32" t="s">
        <v>935</v>
      </c>
      <c r="E21" s="32" t="s">
        <v>911</v>
      </c>
      <c r="F21" s="32" t="s">
        <v>936</v>
      </c>
    </row>
    <row r="22" spans="1:6" ht="27.6">
      <c r="A22" s="32" t="s">
        <v>937</v>
      </c>
      <c r="B22" s="32" t="s">
        <v>938</v>
      </c>
      <c r="C22" s="32" t="s">
        <v>939</v>
      </c>
      <c r="D22" s="32" t="s">
        <v>940</v>
      </c>
      <c r="E22" s="32" t="s">
        <v>911</v>
      </c>
      <c r="F22" s="32" t="s">
        <v>941</v>
      </c>
    </row>
    <row r="23" spans="1:6" ht="27.6">
      <c r="A23" s="32" t="s">
        <v>942</v>
      </c>
      <c r="B23" s="32" t="s">
        <v>943</v>
      </c>
      <c r="C23" s="32" t="s">
        <v>944</v>
      </c>
      <c r="D23" s="32" t="s">
        <v>935</v>
      </c>
      <c r="E23" s="32" t="s">
        <v>911</v>
      </c>
      <c r="F23" s="32" t="s">
        <v>945</v>
      </c>
    </row>
    <row r="24" spans="1:6" ht="27.6">
      <c r="A24" s="32" t="s">
        <v>946</v>
      </c>
      <c r="B24" s="32" t="s">
        <v>947</v>
      </c>
      <c r="C24" s="32" t="s">
        <v>948</v>
      </c>
      <c r="D24" s="32" t="s">
        <v>949</v>
      </c>
      <c r="E24" s="32" t="s">
        <v>911</v>
      </c>
      <c r="F24" s="32" t="s">
        <v>950</v>
      </c>
    </row>
    <row r="25" spans="1:6" ht="27.6">
      <c r="A25" s="32" t="s">
        <v>951</v>
      </c>
      <c r="B25" s="32" t="s">
        <v>952</v>
      </c>
      <c r="C25" s="32" t="s">
        <v>953</v>
      </c>
      <c r="D25" s="32" t="s">
        <v>910</v>
      </c>
      <c r="E25" s="32" t="s">
        <v>911</v>
      </c>
      <c r="F25" s="32" t="s">
        <v>954</v>
      </c>
    </row>
    <row r="26" spans="1:6" ht="27.6">
      <c r="A26" s="32" t="s">
        <v>955</v>
      </c>
      <c r="B26" s="32" t="s">
        <v>956</v>
      </c>
      <c r="C26" s="32" t="s">
        <v>957</v>
      </c>
      <c r="D26" s="32" t="s">
        <v>925</v>
      </c>
      <c r="E26" s="32" t="s">
        <v>911</v>
      </c>
      <c r="F26" s="32" t="s">
        <v>958</v>
      </c>
    </row>
    <row r="27" spans="1:6" ht="27.6">
      <c r="A27" s="32" t="s">
        <v>959</v>
      </c>
      <c r="B27" s="32" t="s">
        <v>960</v>
      </c>
      <c r="C27" s="32" t="s">
        <v>961</v>
      </c>
      <c r="D27" s="32" t="s">
        <v>962</v>
      </c>
      <c r="E27" s="32" t="s">
        <v>911</v>
      </c>
      <c r="F27" s="32" t="s">
        <v>963</v>
      </c>
    </row>
    <row r="28" spans="1:6" ht="27.6">
      <c r="A28" s="32" t="s">
        <v>651</v>
      </c>
      <c r="B28" s="32" t="s">
        <v>964</v>
      </c>
      <c r="C28" s="32" t="s">
        <v>965</v>
      </c>
      <c r="D28" s="32" t="s">
        <v>966</v>
      </c>
      <c r="E28" s="32" t="s">
        <v>911</v>
      </c>
      <c r="F28" s="32" t="s">
        <v>967</v>
      </c>
    </row>
    <row r="29" spans="1:6" ht="27.6">
      <c r="A29" s="32" t="s">
        <v>304</v>
      </c>
      <c r="B29" s="32" t="s">
        <v>968</v>
      </c>
      <c r="C29" s="32" t="s">
        <v>969</v>
      </c>
      <c r="D29" s="32" t="s">
        <v>970</v>
      </c>
      <c r="E29" s="32" t="s">
        <v>971</v>
      </c>
      <c r="F29" s="32" t="s">
        <v>972</v>
      </c>
    </row>
    <row r="30" spans="1:6" ht="27.6">
      <c r="A30" s="32" t="s">
        <v>672</v>
      </c>
      <c r="B30" s="32" t="s">
        <v>973</v>
      </c>
      <c r="C30" s="32" t="s">
        <v>974</v>
      </c>
      <c r="D30" s="32" t="s">
        <v>845</v>
      </c>
      <c r="E30" s="32" t="s">
        <v>845</v>
      </c>
      <c r="F30" s="32" t="s">
        <v>975</v>
      </c>
    </row>
    <row r="31" spans="1:6" ht="27.6">
      <c r="A31" s="32" t="s">
        <v>976</v>
      </c>
      <c r="B31" s="32" t="s">
        <v>977</v>
      </c>
      <c r="C31" s="32" t="s">
        <v>978</v>
      </c>
      <c r="D31" s="32" t="s">
        <v>979</v>
      </c>
      <c r="E31" s="32" t="s">
        <v>845</v>
      </c>
      <c r="F31" s="32" t="s">
        <v>980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selection sqref="A1:E1"/>
    </sheetView>
  </sheetViews>
  <sheetFormatPr defaultRowHeight="13.8"/>
  <cols>
    <col min="1" max="1" width="22" customWidth="1"/>
    <col min="2" max="4" width="36" customWidth="1"/>
    <col min="5" max="5" width="46" customWidth="1"/>
  </cols>
  <sheetData>
    <row r="1" spans="1:5" ht="24" customHeight="1">
      <c r="A1" s="42" t="s">
        <v>981</v>
      </c>
      <c r="B1" s="43"/>
      <c r="C1" s="43"/>
      <c r="D1" s="43"/>
      <c r="E1" s="43"/>
    </row>
    <row r="2" spans="1:5">
      <c r="A2" s="30" t="s">
        <v>982</v>
      </c>
      <c r="B2" s="30" t="s">
        <v>983</v>
      </c>
      <c r="C2" s="30" t="s">
        <v>984</v>
      </c>
      <c r="D2" s="30" t="s">
        <v>985</v>
      </c>
      <c r="E2" s="30" t="s">
        <v>986</v>
      </c>
    </row>
    <row r="3" spans="1:5" ht="27.6">
      <c r="A3" s="32" t="s">
        <v>987</v>
      </c>
      <c r="B3" s="32" t="s">
        <v>988</v>
      </c>
      <c r="C3" s="32" t="s">
        <v>989</v>
      </c>
      <c r="D3" s="32" t="s">
        <v>990</v>
      </c>
      <c r="E3" s="32" t="s">
        <v>991</v>
      </c>
    </row>
    <row r="4" spans="1:5" ht="27.6">
      <c r="A4" s="32" t="s">
        <v>992</v>
      </c>
      <c r="B4" s="32" t="s">
        <v>993</v>
      </c>
      <c r="C4" s="32" t="s">
        <v>994</v>
      </c>
      <c r="D4" s="32" t="s">
        <v>995</v>
      </c>
      <c r="E4" s="32" t="s">
        <v>996</v>
      </c>
    </row>
    <row r="5" spans="1:5" ht="27.6">
      <c r="A5" s="32" t="s">
        <v>997</v>
      </c>
      <c r="B5" s="32" t="s">
        <v>998</v>
      </c>
      <c r="C5" s="32" t="s">
        <v>999</v>
      </c>
      <c r="D5" s="32" t="s">
        <v>1000</v>
      </c>
      <c r="E5" s="32" t="s">
        <v>1001</v>
      </c>
    </row>
    <row r="6" spans="1:5" ht="27.6">
      <c r="A6" s="32" t="s">
        <v>1002</v>
      </c>
      <c r="B6" s="32" t="s">
        <v>1003</v>
      </c>
      <c r="C6" s="32" t="s">
        <v>1004</v>
      </c>
      <c r="D6" s="32" t="s">
        <v>1005</v>
      </c>
      <c r="E6" s="32" t="s">
        <v>1006</v>
      </c>
    </row>
    <row r="7" spans="1:5" ht="27.6">
      <c r="A7" s="32" t="s">
        <v>1007</v>
      </c>
      <c r="B7" s="32" t="s">
        <v>1008</v>
      </c>
      <c r="C7" s="32" t="s">
        <v>1009</v>
      </c>
      <c r="D7" s="32" t="s">
        <v>1010</v>
      </c>
      <c r="E7" s="32" t="s">
        <v>1011</v>
      </c>
    </row>
    <row r="8" spans="1:5" ht="27.6">
      <c r="A8" s="32" t="s">
        <v>1012</v>
      </c>
      <c r="B8" s="32" t="s">
        <v>1013</v>
      </c>
      <c r="C8" s="32" t="s">
        <v>1014</v>
      </c>
      <c r="D8" s="32" t="s">
        <v>1015</v>
      </c>
      <c r="E8" s="32" t="s">
        <v>1016</v>
      </c>
    </row>
    <row r="9" spans="1:5" ht="27.6">
      <c r="A9" s="32" t="s">
        <v>1017</v>
      </c>
      <c r="B9" s="32" t="s">
        <v>1018</v>
      </c>
      <c r="C9" s="32" t="s">
        <v>1019</v>
      </c>
      <c r="D9" s="32" t="s">
        <v>1020</v>
      </c>
      <c r="E9" s="32" t="s">
        <v>1021</v>
      </c>
    </row>
    <row r="10" spans="1:5" ht="27.6">
      <c r="A10" s="32" t="s">
        <v>1022</v>
      </c>
      <c r="B10" s="32" t="s">
        <v>1023</v>
      </c>
      <c r="C10" s="32" t="s">
        <v>1024</v>
      </c>
      <c r="D10" s="32" t="s">
        <v>1025</v>
      </c>
      <c r="E10" s="32" t="s">
        <v>1026</v>
      </c>
    </row>
    <row r="11" spans="1:5" ht="27.6">
      <c r="A11" s="32" t="s">
        <v>1027</v>
      </c>
      <c r="B11" s="32" t="s">
        <v>1028</v>
      </c>
      <c r="C11" s="32" t="s">
        <v>1029</v>
      </c>
      <c r="D11" s="32" t="s">
        <v>1030</v>
      </c>
      <c r="E11" s="32" t="s">
        <v>1031</v>
      </c>
    </row>
    <row r="12" spans="1:5" ht="27.6">
      <c r="A12" s="32" t="s">
        <v>1032</v>
      </c>
      <c r="B12" s="32" t="s">
        <v>1033</v>
      </c>
      <c r="C12" s="32" t="s">
        <v>1034</v>
      </c>
      <c r="D12" s="32" t="s">
        <v>1035</v>
      </c>
      <c r="E12" s="32" t="s">
        <v>1036</v>
      </c>
    </row>
    <row r="13" spans="1:5">
      <c r="A13" s="32" t="s">
        <v>1037</v>
      </c>
      <c r="B13" s="32" t="s">
        <v>1038</v>
      </c>
      <c r="C13" s="32" t="s">
        <v>1039</v>
      </c>
      <c r="D13" s="32" t="s">
        <v>1029</v>
      </c>
      <c r="E13" s="32" t="s">
        <v>1040</v>
      </c>
    </row>
    <row r="14" spans="1:5" ht="27.6">
      <c r="A14" s="32" t="s">
        <v>1041</v>
      </c>
      <c r="B14" s="32" t="s">
        <v>1042</v>
      </c>
      <c r="C14" s="32" t="s">
        <v>1043</v>
      </c>
      <c r="D14" s="32" t="s">
        <v>1044</v>
      </c>
      <c r="E14" s="32" t="s">
        <v>1045</v>
      </c>
    </row>
    <row r="15" spans="1:5" ht="27.6">
      <c r="A15" s="32" t="s">
        <v>1046</v>
      </c>
      <c r="B15" s="32" t="s">
        <v>1047</v>
      </c>
      <c r="C15" s="32" t="s">
        <v>1047</v>
      </c>
      <c r="D15" s="32" t="s">
        <v>1047</v>
      </c>
      <c r="E15" s="32" t="s">
        <v>1048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7"/>
  <sheetViews>
    <sheetView workbookViewId="0">
      <selection sqref="A1:B1"/>
    </sheetView>
  </sheetViews>
  <sheetFormatPr defaultRowHeight="13.8"/>
  <cols>
    <col min="1" max="1" width="24" customWidth="1"/>
    <col min="2" max="2" width="92" customWidth="1"/>
  </cols>
  <sheetData>
    <row r="1" spans="1:2" ht="24" customHeight="1">
      <c r="A1" s="42" t="s">
        <v>1049</v>
      </c>
      <c r="B1" s="43"/>
    </row>
    <row r="3" spans="1:2">
      <c r="A3" s="30" t="s">
        <v>1050</v>
      </c>
      <c r="B3" s="30" t="s">
        <v>314</v>
      </c>
    </row>
    <row r="4" spans="1:2" ht="27.6">
      <c r="A4" s="32" t="s">
        <v>1051</v>
      </c>
      <c r="B4" s="32" t="s">
        <v>1052</v>
      </c>
    </row>
    <row r="5" spans="1:2" ht="27.6">
      <c r="A5" s="32" t="s">
        <v>1053</v>
      </c>
      <c r="B5" s="32" t="s">
        <v>1054</v>
      </c>
    </row>
    <row r="6" spans="1:2">
      <c r="A6" s="32" t="s">
        <v>302</v>
      </c>
      <c r="B6" s="32" t="s">
        <v>1055</v>
      </c>
    </row>
    <row r="7" spans="1:2" ht="27.6">
      <c r="A7" s="32" t="s">
        <v>1056</v>
      </c>
      <c r="B7" s="32" t="s">
        <v>1057</v>
      </c>
    </row>
    <row r="8" spans="1:2" ht="27.6">
      <c r="A8" s="32" t="s">
        <v>1058</v>
      </c>
      <c r="B8" s="32" t="s">
        <v>1059</v>
      </c>
    </row>
    <row r="9" spans="1:2" ht="27.6">
      <c r="A9" s="32" t="s">
        <v>1060</v>
      </c>
      <c r="B9" s="32" t="s">
        <v>1061</v>
      </c>
    </row>
    <row r="10" spans="1:2">
      <c r="A10" s="32" t="s">
        <v>1062</v>
      </c>
      <c r="B10" s="32" t="s">
        <v>1063</v>
      </c>
    </row>
    <row r="11" spans="1:2" ht="27.6">
      <c r="A11" s="32" t="s">
        <v>862</v>
      </c>
      <c r="B11" s="32" t="s">
        <v>1064</v>
      </c>
    </row>
    <row r="12" spans="1:2" ht="27.6">
      <c r="A12" s="32" t="s">
        <v>911</v>
      </c>
      <c r="B12" s="32" t="s">
        <v>1065</v>
      </c>
    </row>
    <row r="13" spans="1:2" ht="27.6">
      <c r="A13" s="32" t="s">
        <v>1066</v>
      </c>
      <c r="B13" s="32" t="s">
        <v>1067</v>
      </c>
    </row>
    <row r="14" spans="1:2" ht="27.6">
      <c r="A14" s="32" t="s">
        <v>1068</v>
      </c>
      <c r="B14" s="32" t="s">
        <v>1069</v>
      </c>
    </row>
    <row r="15" spans="1:2" ht="27.6">
      <c r="A15" s="32" t="s">
        <v>1070</v>
      </c>
      <c r="B15" s="32" t="s">
        <v>1071</v>
      </c>
    </row>
    <row r="16" spans="1:2">
      <c r="A16" s="32" t="s">
        <v>372</v>
      </c>
      <c r="B16" s="32" t="s">
        <v>1072</v>
      </c>
    </row>
    <row r="17" spans="1:2" ht="27.6">
      <c r="A17" s="32" t="s">
        <v>1073</v>
      </c>
      <c r="B17" s="32" t="s">
        <v>1074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 plan</vt:lpstr>
      <vt:lpstr>Progress</vt:lpstr>
      <vt:lpstr>Guide</vt:lpstr>
      <vt:lpstr>Overview</vt:lpstr>
      <vt:lpstr>Project Checklist</vt:lpstr>
      <vt:lpstr>Daily Journal</vt:lpstr>
      <vt:lpstr>DS Concepts</vt:lpstr>
      <vt:lpstr>Dataset Guide</vt:lpstr>
      <vt:lpstr>New Workflow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Saverino</cp:lastModifiedBy>
  <dcterms:modified xsi:type="dcterms:W3CDTF">2026-10-12T07:01:07Z</dcterms:modified>
</cp:coreProperties>
</file>